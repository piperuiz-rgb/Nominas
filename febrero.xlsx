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kraft.es\Downloads\"/>
    </mc:Choice>
  </mc:AlternateContent>
  <xr:revisionPtr revIDLastSave="0" documentId="8_{1C3417A0-E333-4030-872A-C7D8B82D73D9}" xr6:coauthVersionLast="47" xr6:coauthVersionMax="47" xr10:uidLastSave="{00000000-0000-0000-0000-000000000000}"/>
  <bookViews>
    <workbookView xWindow="28680" yWindow="-120" windowWidth="29040" windowHeight="15720" xr2:uid="{30B281BE-2012-47AE-BBBA-93A4279FB4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2" i="1" l="1"/>
  <c r="T52" i="1"/>
  <c r="AK52" i="1" s="1"/>
  <c r="AC51" i="1"/>
  <c r="T51" i="1"/>
  <c r="AD51" i="1" s="1"/>
  <c r="AC50" i="1"/>
  <c r="T50" i="1"/>
  <c r="AK50" i="1" s="1"/>
  <c r="AC49" i="1"/>
  <c r="T49" i="1"/>
  <c r="AK49" i="1" s="1"/>
  <c r="AC48" i="1"/>
  <c r="T48" i="1"/>
  <c r="AK48" i="1" s="1"/>
  <c r="AC47" i="1"/>
  <c r="T47" i="1"/>
  <c r="AD47" i="1" s="1"/>
  <c r="AC46" i="1"/>
  <c r="T46" i="1"/>
  <c r="AK46" i="1" s="1"/>
  <c r="AC45" i="1"/>
  <c r="T45" i="1"/>
  <c r="AD45" i="1" s="1"/>
  <c r="AC44" i="1"/>
  <c r="T44" i="1"/>
  <c r="AK44" i="1" s="1"/>
  <c r="AC43" i="1"/>
  <c r="T43" i="1"/>
  <c r="AD43" i="1" s="1"/>
  <c r="AC42" i="1"/>
  <c r="T42" i="1"/>
  <c r="AK42" i="1" s="1"/>
  <c r="AC41" i="1"/>
  <c r="T41" i="1"/>
  <c r="AD41" i="1" s="1"/>
  <c r="AC40" i="1"/>
  <c r="T40" i="1"/>
  <c r="AK40" i="1" s="1"/>
  <c r="AC39" i="1"/>
  <c r="T39" i="1"/>
  <c r="AK39" i="1" s="1"/>
  <c r="AC38" i="1"/>
  <c r="T38" i="1"/>
  <c r="AK38" i="1" s="1"/>
  <c r="AC37" i="1"/>
  <c r="T37" i="1"/>
  <c r="AK37" i="1" s="1"/>
  <c r="AC36" i="1"/>
  <c r="T36" i="1"/>
  <c r="AK36" i="1" s="1"/>
  <c r="AC35" i="1"/>
  <c r="T35" i="1"/>
  <c r="AD35" i="1" s="1"/>
  <c r="AC34" i="1"/>
  <c r="T34" i="1"/>
  <c r="AK34" i="1" s="1"/>
  <c r="AC33" i="1"/>
  <c r="T33" i="1"/>
  <c r="AK33" i="1" s="1"/>
  <c r="AC32" i="1"/>
  <c r="T32" i="1"/>
  <c r="AK32" i="1" s="1"/>
  <c r="AC31" i="1"/>
  <c r="T31" i="1"/>
  <c r="AD31" i="1" s="1"/>
  <c r="AC30" i="1"/>
  <c r="T30" i="1"/>
  <c r="AK30" i="1" s="1"/>
  <c r="AC29" i="1"/>
  <c r="T29" i="1"/>
  <c r="AD29" i="1" s="1"/>
  <c r="AC28" i="1"/>
  <c r="T28" i="1"/>
  <c r="AK28" i="1" s="1"/>
  <c r="AC27" i="1"/>
  <c r="T27" i="1"/>
  <c r="AK27" i="1" s="1"/>
  <c r="AC26" i="1"/>
  <c r="T26" i="1"/>
  <c r="AK26" i="1" s="1"/>
  <c r="AC25" i="1"/>
  <c r="T25" i="1"/>
  <c r="AD25" i="1" s="1"/>
  <c r="AC24" i="1"/>
  <c r="T24" i="1"/>
  <c r="AK24" i="1" s="1"/>
  <c r="AC23" i="1"/>
  <c r="T23" i="1"/>
  <c r="AK23" i="1" s="1"/>
  <c r="AC22" i="1"/>
  <c r="T22" i="1"/>
  <c r="AK22" i="1" s="1"/>
  <c r="AC21" i="1"/>
  <c r="T21" i="1"/>
  <c r="AD21" i="1" s="1"/>
  <c r="AC20" i="1"/>
  <c r="T20" i="1"/>
  <c r="AK20" i="1" s="1"/>
  <c r="AC19" i="1"/>
  <c r="T19" i="1"/>
  <c r="AD19" i="1" s="1"/>
  <c r="AC18" i="1"/>
  <c r="T18" i="1"/>
  <c r="AK18" i="1" s="1"/>
  <c r="AC17" i="1"/>
  <c r="T17" i="1"/>
  <c r="AD17" i="1" s="1"/>
  <c r="AC16" i="1"/>
  <c r="T16" i="1"/>
  <c r="AK16" i="1" s="1"/>
  <c r="AC15" i="1"/>
  <c r="T15" i="1"/>
  <c r="AD15" i="1" s="1"/>
  <c r="AC14" i="1"/>
  <c r="T14" i="1"/>
  <c r="AK14" i="1" s="1"/>
  <c r="AC13" i="1"/>
  <c r="T13" i="1"/>
  <c r="AK13" i="1" s="1"/>
  <c r="AC12" i="1"/>
  <c r="T12" i="1"/>
  <c r="AK12" i="1" s="1"/>
  <c r="AC11" i="1"/>
  <c r="T11" i="1"/>
  <c r="AD11" i="1" s="1"/>
  <c r="AC10" i="1"/>
  <c r="T10" i="1"/>
  <c r="AK10" i="1" s="1"/>
  <c r="AC9" i="1"/>
  <c r="T9" i="1"/>
  <c r="AK9" i="1" s="1"/>
  <c r="AD9" i="1" l="1"/>
  <c r="AD13" i="1"/>
  <c r="AD23" i="1"/>
  <c r="AD27" i="1"/>
  <c r="AD33" i="1"/>
  <c r="AD37" i="1"/>
  <c r="AD39" i="1"/>
  <c r="AD49" i="1"/>
  <c r="AK15" i="1"/>
  <c r="AK17" i="1"/>
  <c r="AK19" i="1"/>
  <c r="AK21" i="1"/>
  <c r="AK25" i="1"/>
  <c r="AK29" i="1"/>
  <c r="AK31" i="1"/>
  <c r="AK35" i="1"/>
  <c r="AK41" i="1"/>
  <c r="AK43" i="1"/>
  <c r="AK45" i="1"/>
  <c r="AK47" i="1"/>
  <c r="AK51" i="1"/>
  <c r="AK11" i="1"/>
  <c r="AD10" i="1"/>
  <c r="AD12" i="1"/>
  <c r="AD14" i="1"/>
  <c r="AD16" i="1"/>
  <c r="AD18" i="1"/>
  <c r="AD20" i="1"/>
  <c r="AD22" i="1"/>
  <c r="AD24" i="1"/>
  <c r="AD26" i="1"/>
  <c r="AD28" i="1"/>
  <c r="AD30" i="1"/>
  <c r="AD32" i="1"/>
  <c r="AD34" i="1"/>
  <c r="AD36" i="1"/>
  <c r="AD38" i="1"/>
  <c r="AD40" i="1"/>
  <c r="AD42" i="1"/>
  <c r="AD44" i="1"/>
  <c r="AD46" i="1"/>
  <c r="AD48" i="1"/>
  <c r="AD50" i="1"/>
  <c r="AD52" i="1"/>
</calcChain>
</file>

<file path=xl/sharedStrings.xml><?xml version="1.0" encoding="utf-8"?>
<sst xmlns="http://schemas.openxmlformats.org/spreadsheetml/2006/main" count="91" uniqueCount="91">
  <si>
    <t>0001 Sal.Base</t>
  </si>
  <si>
    <t>0004 Antigüed</t>
  </si>
  <si>
    <t>0008 Incentiv</t>
  </si>
  <si>
    <t>0030 Incentiv</t>
  </si>
  <si>
    <t>0032 Com.Brut</t>
  </si>
  <si>
    <t>0033 Com.Líqu</t>
  </si>
  <si>
    <t>0072 Plus Sal</t>
  </si>
  <si>
    <t>0135 COMISION</t>
  </si>
  <si>
    <t>0145 VIVIENDA</t>
  </si>
  <si>
    <t>0161 DIF SALA</t>
  </si>
  <si>
    <t>0201 Cta.Conv</t>
  </si>
  <si>
    <t>0210 P.P.P. E</t>
  </si>
  <si>
    <t>0214 Incentiv</t>
  </si>
  <si>
    <t>0392 SEGURO M</t>
  </si>
  <si>
    <t>0393 SEGURO M</t>
  </si>
  <si>
    <t>0398 Plus Tra</t>
  </si>
  <si>
    <t>0451 Enferme.</t>
  </si>
  <si>
    <t>0604 DIETAS</t>
  </si>
  <si>
    <t>TOT. BRUTO</t>
  </si>
  <si>
    <t>0705-Dev.</t>
  </si>
  <si>
    <t>0708-ANTICIPO</t>
  </si>
  <si>
    <t>0789-Dto.Esp.</t>
  </si>
  <si>
    <t>0987-I.I.C.CT</t>
  </si>
  <si>
    <t>0995-COTIZ.CC</t>
  </si>
  <si>
    <t>0996-COTIZ.FP</t>
  </si>
  <si>
    <t>0997-COTIZ.DE</t>
  </si>
  <si>
    <t>0999-TRI.IRPF</t>
  </si>
  <si>
    <t>TOT.DEDUC.</t>
  </si>
  <si>
    <t>TOTAL.LIQ.</t>
  </si>
  <si>
    <t>P.P.EXTRAS</t>
  </si>
  <si>
    <t>SS EMPRESA</t>
  </si>
  <si>
    <t>SS TRAB.</t>
  </si>
  <si>
    <t>SS TOTAL.</t>
  </si>
  <si>
    <t>C.COL.VOL.</t>
  </si>
  <si>
    <t>APORTA.SC</t>
  </si>
  <si>
    <t>COSTE EMP.</t>
  </si>
  <si>
    <t>BASE CC</t>
  </si>
  <si>
    <t>BASE ACC.</t>
  </si>
  <si>
    <t>B.IRPF DIN</t>
  </si>
  <si>
    <t>B.IRPF ESP</t>
  </si>
  <si>
    <t>B.IRPF IRR</t>
  </si>
  <si>
    <t>HE NORMAL</t>
  </si>
  <si>
    <t>HE ESTRUC.</t>
  </si>
  <si>
    <t>H.PRESEN.</t>
  </si>
  <si>
    <t>D.DES.PARC</t>
  </si>
  <si>
    <t>IMP BONIF.</t>
  </si>
  <si>
    <t>DIAS COT.</t>
  </si>
  <si>
    <t>000001</t>
  </si>
  <si>
    <t>000002</t>
  </si>
  <si>
    <t>000003</t>
  </si>
  <si>
    <t>000006</t>
  </si>
  <si>
    <t>000016</t>
  </si>
  <si>
    <t>000019</t>
  </si>
  <si>
    <t>000025</t>
  </si>
  <si>
    <t>000026</t>
  </si>
  <si>
    <t>000027</t>
  </si>
  <si>
    <t>000028</t>
  </si>
  <si>
    <t>000029</t>
  </si>
  <si>
    <t>000030</t>
  </si>
  <si>
    <t>000034</t>
  </si>
  <si>
    <t>000040</t>
  </si>
  <si>
    <t>000041</t>
  </si>
  <si>
    <t>000042</t>
  </si>
  <si>
    <t>000043</t>
  </si>
  <si>
    <t>000049</t>
  </si>
  <si>
    <t>000055</t>
  </si>
  <si>
    <t>000057</t>
  </si>
  <si>
    <t>000063</t>
  </si>
  <si>
    <t>000069</t>
  </si>
  <si>
    <t>000074</t>
  </si>
  <si>
    <t>000081</t>
  </si>
  <si>
    <t>000102</t>
  </si>
  <si>
    <t>000104</t>
  </si>
  <si>
    <t>000108</t>
  </si>
  <si>
    <t>000119</t>
  </si>
  <si>
    <t>000127</t>
  </si>
  <si>
    <t>000129</t>
  </si>
  <si>
    <t>000130</t>
  </si>
  <si>
    <t>000132</t>
  </si>
  <si>
    <t>000134</t>
  </si>
  <si>
    <t>000200</t>
  </si>
  <si>
    <t>000201</t>
  </si>
  <si>
    <t>000204</t>
  </si>
  <si>
    <t>000211</t>
  </si>
  <si>
    <t>000215</t>
  </si>
  <si>
    <t>000216</t>
  </si>
  <si>
    <t>000222</t>
  </si>
  <si>
    <t>000224</t>
  </si>
  <si>
    <t>000225</t>
  </si>
  <si>
    <t>000227</t>
  </si>
  <si>
    <t>000228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</si>
</sst>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;\-#,###,##0.00;"/>
    <numFmt numFmtId="165" formatCode="#,###,###;\-#,###,###;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AE4F3"/>
        <bgColor indexed="64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6" xfId="0" quotePrefix="1" applyFont="1" applyBorder="1" applyAlignment="1">
      <alignment horizontal="left" vertical="center"/>
    </xf>
    <xf numFmtId="164" fontId="1" fillId="0" borderId="7" xfId="0" applyNumberFormat="1" applyFont="1" applyBorder="1" applyAlignment="1">
      <alignment vertical="center"/>
    </xf>
    <xf numFmtId="164" fontId="1" fillId="5" borderId="7" xfId="0" applyNumberFormat="1" applyFont="1" applyFill="1" applyBorder="1" applyAlignment="1">
      <alignment vertical="center"/>
    </xf>
    <xf numFmtId="164" fontId="1" fillId="6" borderId="7" xfId="0" applyNumberFormat="1" applyFont="1" applyFill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0" fontId="2" fillId="0" borderId="1" xfId="0" quotePrefix="1" applyFont="1" applyBorder="1" applyAlignment="1">
      <alignment horizontal="left" vertical="center"/>
    </xf>
    <xf numFmtId="164" fontId="1" fillId="0" borderId="8" xfId="0" applyNumberFormat="1" applyFont="1" applyBorder="1" applyAlignment="1">
      <alignment vertical="center"/>
    </xf>
    <xf numFmtId="164" fontId="1" fillId="5" borderId="8" xfId="0" applyNumberFormat="1" applyFont="1" applyFill="1" applyBorder="1" applyAlignment="1">
      <alignment vertical="center"/>
    </xf>
    <xf numFmtId="164" fontId="1" fillId="6" borderId="8" xfId="0" applyNumberFormat="1" applyFont="1" applyFill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9D37-DCC5-43FC-B316-003BE3FA357F}">
  <dimension ref="A1:AV52"/>
  <sheetViews>
    <sheetView tabSelected="1" workbookViewId="0">
      <selection sqref="A1:XFD1048576"/>
    </sheetView>
  </sheetViews>
  <sheetFormatPr baseColWidth="10" defaultRowHeight="14.4" x14ac:dyDescent="0.3"/>
  <cols>
    <col min="1" max="1" width="12.6640625" style="2" customWidth="1"/>
    <col min="2" max="48" width="14.6640625" style="2" customWidth="1"/>
    <col min="49" max="256" width="11.5546875" style="2"/>
    <col min="257" max="257" width="12.6640625" style="2" customWidth="1"/>
    <col min="258" max="304" width="14.6640625" style="2" customWidth="1"/>
    <col min="305" max="512" width="11.5546875" style="2"/>
    <col min="513" max="513" width="12.6640625" style="2" customWidth="1"/>
    <col min="514" max="560" width="14.6640625" style="2" customWidth="1"/>
    <col min="561" max="768" width="11.5546875" style="2"/>
    <col min="769" max="769" width="12.6640625" style="2" customWidth="1"/>
    <col min="770" max="816" width="14.6640625" style="2" customWidth="1"/>
    <col min="817" max="1024" width="11.5546875" style="2"/>
    <col min="1025" max="1025" width="12.6640625" style="2" customWidth="1"/>
    <col min="1026" max="1072" width="14.6640625" style="2" customWidth="1"/>
    <col min="1073" max="1280" width="11.5546875" style="2"/>
    <col min="1281" max="1281" width="12.6640625" style="2" customWidth="1"/>
    <col min="1282" max="1328" width="14.6640625" style="2" customWidth="1"/>
    <col min="1329" max="1536" width="11.5546875" style="2"/>
    <col min="1537" max="1537" width="12.6640625" style="2" customWidth="1"/>
    <col min="1538" max="1584" width="14.6640625" style="2" customWidth="1"/>
    <col min="1585" max="1792" width="11.5546875" style="2"/>
    <col min="1793" max="1793" width="12.6640625" style="2" customWidth="1"/>
    <col min="1794" max="1840" width="14.6640625" style="2" customWidth="1"/>
    <col min="1841" max="2048" width="11.5546875" style="2"/>
    <col min="2049" max="2049" width="12.6640625" style="2" customWidth="1"/>
    <col min="2050" max="2096" width="14.6640625" style="2" customWidth="1"/>
    <col min="2097" max="2304" width="11.5546875" style="2"/>
    <col min="2305" max="2305" width="12.6640625" style="2" customWidth="1"/>
    <col min="2306" max="2352" width="14.6640625" style="2" customWidth="1"/>
    <col min="2353" max="2560" width="11.5546875" style="2"/>
    <col min="2561" max="2561" width="12.6640625" style="2" customWidth="1"/>
    <col min="2562" max="2608" width="14.6640625" style="2" customWidth="1"/>
    <col min="2609" max="2816" width="11.5546875" style="2"/>
    <col min="2817" max="2817" width="12.6640625" style="2" customWidth="1"/>
    <col min="2818" max="2864" width="14.6640625" style="2" customWidth="1"/>
    <col min="2865" max="3072" width="11.5546875" style="2"/>
    <col min="3073" max="3073" width="12.6640625" style="2" customWidth="1"/>
    <col min="3074" max="3120" width="14.6640625" style="2" customWidth="1"/>
    <col min="3121" max="3328" width="11.5546875" style="2"/>
    <col min="3329" max="3329" width="12.6640625" style="2" customWidth="1"/>
    <col min="3330" max="3376" width="14.6640625" style="2" customWidth="1"/>
    <col min="3377" max="3584" width="11.5546875" style="2"/>
    <col min="3585" max="3585" width="12.6640625" style="2" customWidth="1"/>
    <col min="3586" max="3632" width="14.6640625" style="2" customWidth="1"/>
    <col min="3633" max="3840" width="11.5546875" style="2"/>
    <col min="3841" max="3841" width="12.6640625" style="2" customWidth="1"/>
    <col min="3842" max="3888" width="14.6640625" style="2" customWidth="1"/>
    <col min="3889" max="4096" width="11.5546875" style="2"/>
    <col min="4097" max="4097" width="12.6640625" style="2" customWidth="1"/>
    <col min="4098" max="4144" width="14.6640625" style="2" customWidth="1"/>
    <col min="4145" max="4352" width="11.5546875" style="2"/>
    <col min="4353" max="4353" width="12.6640625" style="2" customWidth="1"/>
    <col min="4354" max="4400" width="14.6640625" style="2" customWidth="1"/>
    <col min="4401" max="4608" width="11.5546875" style="2"/>
    <col min="4609" max="4609" width="12.6640625" style="2" customWidth="1"/>
    <col min="4610" max="4656" width="14.6640625" style="2" customWidth="1"/>
    <col min="4657" max="4864" width="11.5546875" style="2"/>
    <col min="4865" max="4865" width="12.6640625" style="2" customWidth="1"/>
    <col min="4866" max="4912" width="14.6640625" style="2" customWidth="1"/>
    <col min="4913" max="5120" width="11.5546875" style="2"/>
    <col min="5121" max="5121" width="12.6640625" style="2" customWidth="1"/>
    <col min="5122" max="5168" width="14.6640625" style="2" customWidth="1"/>
    <col min="5169" max="5376" width="11.5546875" style="2"/>
    <col min="5377" max="5377" width="12.6640625" style="2" customWidth="1"/>
    <col min="5378" max="5424" width="14.6640625" style="2" customWidth="1"/>
    <col min="5425" max="5632" width="11.5546875" style="2"/>
    <col min="5633" max="5633" width="12.6640625" style="2" customWidth="1"/>
    <col min="5634" max="5680" width="14.6640625" style="2" customWidth="1"/>
    <col min="5681" max="5888" width="11.5546875" style="2"/>
    <col min="5889" max="5889" width="12.6640625" style="2" customWidth="1"/>
    <col min="5890" max="5936" width="14.6640625" style="2" customWidth="1"/>
    <col min="5937" max="6144" width="11.5546875" style="2"/>
    <col min="6145" max="6145" width="12.6640625" style="2" customWidth="1"/>
    <col min="6146" max="6192" width="14.6640625" style="2" customWidth="1"/>
    <col min="6193" max="6400" width="11.5546875" style="2"/>
    <col min="6401" max="6401" width="12.6640625" style="2" customWidth="1"/>
    <col min="6402" max="6448" width="14.6640625" style="2" customWidth="1"/>
    <col min="6449" max="6656" width="11.5546875" style="2"/>
    <col min="6657" max="6657" width="12.6640625" style="2" customWidth="1"/>
    <col min="6658" max="6704" width="14.6640625" style="2" customWidth="1"/>
    <col min="6705" max="6912" width="11.5546875" style="2"/>
    <col min="6913" max="6913" width="12.6640625" style="2" customWidth="1"/>
    <col min="6914" max="6960" width="14.6640625" style="2" customWidth="1"/>
    <col min="6961" max="7168" width="11.5546875" style="2"/>
    <col min="7169" max="7169" width="12.6640625" style="2" customWidth="1"/>
    <col min="7170" max="7216" width="14.6640625" style="2" customWidth="1"/>
    <col min="7217" max="7424" width="11.5546875" style="2"/>
    <col min="7425" max="7425" width="12.6640625" style="2" customWidth="1"/>
    <col min="7426" max="7472" width="14.6640625" style="2" customWidth="1"/>
    <col min="7473" max="7680" width="11.5546875" style="2"/>
    <col min="7681" max="7681" width="12.6640625" style="2" customWidth="1"/>
    <col min="7682" max="7728" width="14.6640625" style="2" customWidth="1"/>
    <col min="7729" max="7936" width="11.5546875" style="2"/>
    <col min="7937" max="7937" width="12.6640625" style="2" customWidth="1"/>
    <col min="7938" max="7984" width="14.6640625" style="2" customWidth="1"/>
    <col min="7985" max="8192" width="11.5546875" style="2"/>
    <col min="8193" max="8193" width="12.6640625" style="2" customWidth="1"/>
    <col min="8194" max="8240" width="14.6640625" style="2" customWidth="1"/>
    <col min="8241" max="8448" width="11.5546875" style="2"/>
    <col min="8449" max="8449" width="12.6640625" style="2" customWidth="1"/>
    <col min="8450" max="8496" width="14.6640625" style="2" customWidth="1"/>
    <col min="8497" max="8704" width="11.5546875" style="2"/>
    <col min="8705" max="8705" width="12.6640625" style="2" customWidth="1"/>
    <col min="8706" max="8752" width="14.6640625" style="2" customWidth="1"/>
    <col min="8753" max="8960" width="11.5546875" style="2"/>
    <col min="8961" max="8961" width="12.6640625" style="2" customWidth="1"/>
    <col min="8962" max="9008" width="14.6640625" style="2" customWidth="1"/>
    <col min="9009" max="9216" width="11.5546875" style="2"/>
    <col min="9217" max="9217" width="12.6640625" style="2" customWidth="1"/>
    <col min="9218" max="9264" width="14.6640625" style="2" customWidth="1"/>
    <col min="9265" max="9472" width="11.5546875" style="2"/>
    <col min="9473" max="9473" width="12.6640625" style="2" customWidth="1"/>
    <col min="9474" max="9520" width="14.6640625" style="2" customWidth="1"/>
    <col min="9521" max="9728" width="11.5546875" style="2"/>
    <col min="9729" max="9729" width="12.6640625" style="2" customWidth="1"/>
    <col min="9730" max="9776" width="14.6640625" style="2" customWidth="1"/>
    <col min="9777" max="9984" width="11.5546875" style="2"/>
    <col min="9985" max="9985" width="12.6640625" style="2" customWidth="1"/>
    <col min="9986" max="10032" width="14.6640625" style="2" customWidth="1"/>
    <col min="10033" max="10240" width="11.5546875" style="2"/>
    <col min="10241" max="10241" width="12.6640625" style="2" customWidth="1"/>
    <col min="10242" max="10288" width="14.6640625" style="2" customWidth="1"/>
    <col min="10289" max="10496" width="11.5546875" style="2"/>
    <col min="10497" max="10497" width="12.6640625" style="2" customWidth="1"/>
    <col min="10498" max="10544" width="14.6640625" style="2" customWidth="1"/>
    <col min="10545" max="10752" width="11.5546875" style="2"/>
    <col min="10753" max="10753" width="12.6640625" style="2" customWidth="1"/>
    <col min="10754" max="10800" width="14.6640625" style="2" customWidth="1"/>
    <col min="10801" max="11008" width="11.5546875" style="2"/>
    <col min="11009" max="11009" width="12.6640625" style="2" customWidth="1"/>
    <col min="11010" max="11056" width="14.6640625" style="2" customWidth="1"/>
    <col min="11057" max="11264" width="11.5546875" style="2"/>
    <col min="11265" max="11265" width="12.6640625" style="2" customWidth="1"/>
    <col min="11266" max="11312" width="14.6640625" style="2" customWidth="1"/>
    <col min="11313" max="11520" width="11.5546875" style="2"/>
    <col min="11521" max="11521" width="12.6640625" style="2" customWidth="1"/>
    <col min="11522" max="11568" width="14.6640625" style="2" customWidth="1"/>
    <col min="11569" max="11776" width="11.5546875" style="2"/>
    <col min="11777" max="11777" width="12.6640625" style="2" customWidth="1"/>
    <col min="11778" max="11824" width="14.6640625" style="2" customWidth="1"/>
    <col min="11825" max="12032" width="11.5546875" style="2"/>
    <col min="12033" max="12033" width="12.6640625" style="2" customWidth="1"/>
    <col min="12034" max="12080" width="14.6640625" style="2" customWidth="1"/>
    <col min="12081" max="12288" width="11.5546875" style="2"/>
    <col min="12289" max="12289" width="12.6640625" style="2" customWidth="1"/>
    <col min="12290" max="12336" width="14.6640625" style="2" customWidth="1"/>
    <col min="12337" max="12544" width="11.5546875" style="2"/>
    <col min="12545" max="12545" width="12.6640625" style="2" customWidth="1"/>
    <col min="12546" max="12592" width="14.6640625" style="2" customWidth="1"/>
    <col min="12593" max="12800" width="11.5546875" style="2"/>
    <col min="12801" max="12801" width="12.6640625" style="2" customWidth="1"/>
    <col min="12802" max="12848" width="14.6640625" style="2" customWidth="1"/>
    <col min="12849" max="13056" width="11.5546875" style="2"/>
    <col min="13057" max="13057" width="12.6640625" style="2" customWidth="1"/>
    <col min="13058" max="13104" width="14.6640625" style="2" customWidth="1"/>
    <col min="13105" max="13312" width="11.5546875" style="2"/>
    <col min="13313" max="13313" width="12.6640625" style="2" customWidth="1"/>
    <col min="13314" max="13360" width="14.6640625" style="2" customWidth="1"/>
    <col min="13361" max="13568" width="11.5546875" style="2"/>
    <col min="13569" max="13569" width="12.6640625" style="2" customWidth="1"/>
    <col min="13570" max="13616" width="14.6640625" style="2" customWidth="1"/>
    <col min="13617" max="13824" width="11.5546875" style="2"/>
    <col min="13825" max="13825" width="12.6640625" style="2" customWidth="1"/>
    <col min="13826" max="13872" width="14.6640625" style="2" customWidth="1"/>
    <col min="13873" max="14080" width="11.5546875" style="2"/>
    <col min="14081" max="14081" width="12.6640625" style="2" customWidth="1"/>
    <col min="14082" max="14128" width="14.6640625" style="2" customWidth="1"/>
    <col min="14129" max="14336" width="11.5546875" style="2"/>
    <col min="14337" max="14337" width="12.6640625" style="2" customWidth="1"/>
    <col min="14338" max="14384" width="14.6640625" style="2" customWidth="1"/>
    <col min="14385" max="14592" width="11.5546875" style="2"/>
    <col min="14593" max="14593" width="12.6640625" style="2" customWidth="1"/>
    <col min="14594" max="14640" width="14.6640625" style="2" customWidth="1"/>
    <col min="14641" max="14848" width="11.5546875" style="2"/>
    <col min="14849" max="14849" width="12.6640625" style="2" customWidth="1"/>
    <col min="14850" max="14896" width="14.6640625" style="2" customWidth="1"/>
    <col min="14897" max="15104" width="11.5546875" style="2"/>
    <col min="15105" max="15105" width="12.6640625" style="2" customWidth="1"/>
    <col min="15106" max="15152" width="14.6640625" style="2" customWidth="1"/>
    <col min="15153" max="15360" width="11.5546875" style="2"/>
    <col min="15361" max="15361" width="12.6640625" style="2" customWidth="1"/>
    <col min="15362" max="15408" width="14.6640625" style="2" customWidth="1"/>
    <col min="15409" max="15616" width="11.5546875" style="2"/>
    <col min="15617" max="15617" width="12.6640625" style="2" customWidth="1"/>
    <col min="15618" max="15664" width="14.6640625" style="2" customWidth="1"/>
    <col min="15665" max="15872" width="11.5546875" style="2"/>
    <col min="15873" max="15873" width="12.6640625" style="2" customWidth="1"/>
    <col min="15874" max="15920" width="14.6640625" style="2" customWidth="1"/>
    <col min="15921" max="16128" width="11.5546875" style="2"/>
    <col min="16129" max="16129" width="12.6640625" style="2" customWidth="1"/>
    <col min="16130" max="16176" width="14.6640625" style="2" customWidth="1"/>
    <col min="16177" max="16384" width="11.5546875" style="2"/>
  </cols>
  <sheetData>
    <row r="1" spans="1:48" ht="12" customHeight="1" x14ac:dyDescent="0.3">
      <c r="A1" s="1"/>
    </row>
    <row r="2" spans="1:48" ht="12" customHeight="1" x14ac:dyDescent="0.3">
      <c r="A2" s="1"/>
    </row>
    <row r="3" spans="1:48" ht="12" customHeight="1" x14ac:dyDescent="0.3">
      <c r="A3" s="1"/>
    </row>
    <row r="4" spans="1:48" ht="12" customHeight="1" x14ac:dyDescent="0.3">
      <c r="A4" s="1"/>
    </row>
    <row r="5" spans="1:48" ht="12" customHeight="1" x14ac:dyDescent="0.3">
      <c r="A5" s="1"/>
    </row>
    <row r="6" spans="1:48" ht="15" thickBot="1" x14ac:dyDescent="0.35">
      <c r="A6" s="1"/>
    </row>
    <row r="7" spans="1:48" ht="15.6" thickTop="1" thickBot="1" x14ac:dyDescent="0.35">
      <c r="A7" s="3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5" t="s">
        <v>18</v>
      </c>
      <c r="U7" s="4" t="s">
        <v>19</v>
      </c>
      <c r="V7" s="4" t="s">
        <v>20</v>
      </c>
      <c r="W7" s="4" t="s">
        <v>21</v>
      </c>
      <c r="X7" s="4" t="s">
        <v>22</v>
      </c>
      <c r="Y7" s="4" t="s">
        <v>23</v>
      </c>
      <c r="Z7" s="4" t="s">
        <v>24</v>
      </c>
      <c r="AA7" s="4" t="s">
        <v>25</v>
      </c>
      <c r="AB7" s="4" t="s">
        <v>26</v>
      </c>
      <c r="AC7" s="6" t="s">
        <v>27</v>
      </c>
      <c r="AD7" s="4" t="s">
        <v>28</v>
      </c>
      <c r="AE7" s="4" t="s">
        <v>29</v>
      </c>
      <c r="AF7" s="4" t="s">
        <v>30</v>
      </c>
      <c r="AG7" s="4" t="s">
        <v>31</v>
      </c>
      <c r="AH7" s="4" t="s">
        <v>32</v>
      </c>
      <c r="AI7" s="4" t="s">
        <v>33</v>
      </c>
      <c r="AJ7" s="4" t="s">
        <v>34</v>
      </c>
      <c r="AK7" s="4" t="s">
        <v>35</v>
      </c>
      <c r="AL7" s="4" t="s">
        <v>36</v>
      </c>
      <c r="AM7" s="4" t="s">
        <v>37</v>
      </c>
      <c r="AN7" s="4" t="s">
        <v>38</v>
      </c>
      <c r="AO7" s="4" t="s">
        <v>39</v>
      </c>
      <c r="AP7" s="4" t="s">
        <v>40</v>
      </c>
      <c r="AQ7" s="4" t="s">
        <v>41</v>
      </c>
      <c r="AR7" s="4" t="s">
        <v>42</v>
      </c>
      <c r="AS7" s="4" t="s">
        <v>43</v>
      </c>
      <c r="AT7" s="4" t="s">
        <v>44</v>
      </c>
      <c r="AU7" s="4" t="s">
        <v>45</v>
      </c>
      <c r="AV7" s="7" t="s">
        <v>46</v>
      </c>
    </row>
    <row r="8" spans="1:48" ht="13.05" customHeight="1" thickTop="1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  <c r="U8" s="9"/>
      <c r="V8" s="9"/>
      <c r="W8" s="9"/>
      <c r="X8" s="9"/>
      <c r="Y8" s="9"/>
      <c r="Z8" s="9"/>
      <c r="AA8" s="9"/>
      <c r="AB8" s="9"/>
      <c r="AC8" s="11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2"/>
    </row>
    <row r="9" spans="1:48" ht="13.05" customHeight="1" x14ac:dyDescent="0.3">
      <c r="A9" s="13" t="s">
        <v>47</v>
      </c>
      <c r="B9" s="14">
        <v>1388.26</v>
      </c>
      <c r="C9" s="14">
        <v>83.3</v>
      </c>
      <c r="D9" s="14"/>
      <c r="E9" s="14">
        <v>147.16</v>
      </c>
      <c r="F9" s="14"/>
      <c r="G9" s="14">
        <v>4426.21</v>
      </c>
      <c r="H9" s="14"/>
      <c r="I9" s="14"/>
      <c r="J9" s="14"/>
      <c r="K9" s="14"/>
      <c r="L9" s="14"/>
      <c r="M9" s="14">
        <v>245.26</v>
      </c>
      <c r="N9" s="14"/>
      <c r="O9" s="14"/>
      <c r="P9" s="14"/>
      <c r="Q9" s="14"/>
      <c r="R9" s="14"/>
      <c r="S9" s="14"/>
      <c r="T9" s="15">
        <f>SUM(B9:S9)</f>
        <v>6290.1900000000005</v>
      </c>
      <c r="U9" s="14"/>
      <c r="V9" s="14"/>
      <c r="W9" s="14"/>
      <c r="X9" s="14"/>
      <c r="Y9" s="14"/>
      <c r="Z9" s="14"/>
      <c r="AA9" s="14"/>
      <c r="AB9" s="14">
        <v>1729.8</v>
      </c>
      <c r="AC9" s="16">
        <f t="shared" ref="AC9:AC52" si="0">SUM(U9:AB9)</f>
        <v>1729.8</v>
      </c>
      <c r="AD9" s="14">
        <f t="shared" ref="AD9:AD52" si="1">(T9-AC9)</f>
        <v>4560.3900000000003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f t="shared" ref="AK9:AK52" si="2">T9+AF9</f>
        <v>6290.1900000000005</v>
      </c>
      <c r="AL9" s="14">
        <v>0</v>
      </c>
      <c r="AM9" s="14">
        <v>0</v>
      </c>
      <c r="AN9" s="14">
        <v>6290.19</v>
      </c>
      <c r="AO9" s="14">
        <v>0</v>
      </c>
      <c r="AP9" s="14">
        <v>0</v>
      </c>
      <c r="AQ9" s="17">
        <v>0</v>
      </c>
      <c r="AR9" s="14">
        <v>0</v>
      </c>
      <c r="AS9" s="14">
        <v>160</v>
      </c>
      <c r="AT9" s="14">
        <v>0</v>
      </c>
      <c r="AU9" s="14">
        <v>0</v>
      </c>
      <c r="AV9" s="18">
        <v>30</v>
      </c>
    </row>
    <row r="10" spans="1:48" ht="13.05" customHeight="1" x14ac:dyDescent="0.3">
      <c r="A10" s="13" t="s">
        <v>48</v>
      </c>
      <c r="B10" s="14">
        <v>1388.26</v>
      </c>
      <c r="C10" s="14">
        <v>83.3</v>
      </c>
      <c r="D10" s="14"/>
      <c r="E10" s="14">
        <v>147.16</v>
      </c>
      <c r="F10" s="14"/>
      <c r="G10" s="14">
        <v>4426.21</v>
      </c>
      <c r="H10" s="14"/>
      <c r="I10" s="14"/>
      <c r="J10" s="14"/>
      <c r="K10" s="14"/>
      <c r="L10" s="14"/>
      <c r="M10" s="14">
        <v>245.26</v>
      </c>
      <c r="N10" s="14"/>
      <c r="O10" s="14"/>
      <c r="P10" s="14"/>
      <c r="Q10" s="14"/>
      <c r="R10" s="14"/>
      <c r="S10" s="14"/>
      <c r="T10" s="15">
        <f>SUM(B10:S10)</f>
        <v>6290.1900000000005</v>
      </c>
      <c r="U10" s="14"/>
      <c r="V10" s="14"/>
      <c r="W10" s="14"/>
      <c r="X10" s="14"/>
      <c r="Y10" s="14"/>
      <c r="Z10" s="14"/>
      <c r="AA10" s="14"/>
      <c r="AB10" s="14">
        <v>1729.8</v>
      </c>
      <c r="AC10" s="16">
        <f t="shared" si="0"/>
        <v>1729.8</v>
      </c>
      <c r="AD10" s="14">
        <f t="shared" si="1"/>
        <v>4560.3900000000003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f t="shared" si="2"/>
        <v>6290.1900000000005</v>
      </c>
      <c r="AL10" s="14">
        <v>0</v>
      </c>
      <c r="AM10" s="14">
        <v>0</v>
      </c>
      <c r="AN10" s="14">
        <v>6290.19</v>
      </c>
      <c r="AO10" s="14">
        <v>0</v>
      </c>
      <c r="AP10" s="14">
        <v>0</v>
      </c>
      <c r="AQ10" s="17">
        <v>0</v>
      </c>
      <c r="AR10" s="14">
        <v>0</v>
      </c>
      <c r="AS10" s="14">
        <v>160</v>
      </c>
      <c r="AT10" s="14">
        <v>0</v>
      </c>
      <c r="AU10" s="14">
        <v>0</v>
      </c>
      <c r="AV10" s="18">
        <v>30</v>
      </c>
    </row>
    <row r="11" spans="1:48" ht="13.05" customHeight="1" x14ac:dyDescent="0.3">
      <c r="A11" s="13" t="s">
        <v>49</v>
      </c>
      <c r="B11" s="14">
        <v>1417.6</v>
      </c>
      <c r="C11" s="14">
        <v>85.06</v>
      </c>
      <c r="D11" s="14"/>
      <c r="E11" s="14">
        <v>150.27000000000001</v>
      </c>
      <c r="F11" s="14">
        <v>1036.17</v>
      </c>
      <c r="G11" s="14"/>
      <c r="H11" s="14"/>
      <c r="I11" s="14"/>
      <c r="J11" s="14"/>
      <c r="K11" s="14">
        <v>0.45</v>
      </c>
      <c r="L11" s="14">
        <v>100</v>
      </c>
      <c r="M11" s="14">
        <v>250.44</v>
      </c>
      <c r="N11" s="14"/>
      <c r="O11" s="14">
        <v>41.67</v>
      </c>
      <c r="P11" s="14">
        <v>13.75</v>
      </c>
      <c r="Q11" s="14"/>
      <c r="R11" s="14"/>
      <c r="S11" s="14"/>
      <c r="T11" s="15">
        <f>SUM(B11:S11)</f>
        <v>3095.41</v>
      </c>
      <c r="U11" s="14"/>
      <c r="V11" s="14"/>
      <c r="W11" s="14">
        <v>55.87</v>
      </c>
      <c r="X11" s="14">
        <v>2.72</v>
      </c>
      <c r="Y11" s="14">
        <v>150.12</v>
      </c>
      <c r="Z11" s="14">
        <v>3.1</v>
      </c>
      <c r="AA11" s="14">
        <v>47.98</v>
      </c>
      <c r="AB11" s="14">
        <v>600.30999999999995</v>
      </c>
      <c r="AC11" s="16">
        <f t="shared" si="0"/>
        <v>860.09999999999991</v>
      </c>
      <c r="AD11" s="14">
        <f t="shared" si="1"/>
        <v>2235.31</v>
      </c>
      <c r="AE11" s="14">
        <v>0</v>
      </c>
      <c r="AF11" s="14">
        <v>995.18</v>
      </c>
      <c r="AG11" s="14">
        <v>201.2</v>
      </c>
      <c r="AH11" s="14">
        <v>1196.3800000000001</v>
      </c>
      <c r="AI11" s="14">
        <v>0</v>
      </c>
      <c r="AJ11" s="14">
        <v>0</v>
      </c>
      <c r="AK11" s="14">
        <f t="shared" si="2"/>
        <v>4090.5899999999997</v>
      </c>
      <c r="AL11" s="14">
        <v>3095.41</v>
      </c>
      <c r="AM11" s="14">
        <v>3095.41</v>
      </c>
      <c r="AN11" s="14">
        <v>3039.54</v>
      </c>
      <c r="AO11" s="14">
        <v>13.75</v>
      </c>
      <c r="AP11" s="14">
        <v>0</v>
      </c>
      <c r="AQ11" s="17">
        <v>0</v>
      </c>
      <c r="AR11" s="14">
        <v>0</v>
      </c>
      <c r="AS11" s="14">
        <v>140</v>
      </c>
      <c r="AT11" s="14">
        <v>0</v>
      </c>
      <c r="AU11" s="14">
        <v>0</v>
      </c>
      <c r="AV11" s="18">
        <v>30</v>
      </c>
    </row>
    <row r="12" spans="1:48" ht="13.05" customHeight="1" x14ac:dyDescent="0.3">
      <c r="A12" s="13" t="s">
        <v>50</v>
      </c>
      <c r="B12" s="14">
        <v>1118.99</v>
      </c>
      <c r="C12" s="14">
        <v>33.57</v>
      </c>
      <c r="D12" s="14"/>
      <c r="E12" s="14">
        <v>115.26</v>
      </c>
      <c r="F12" s="14">
        <v>808.69</v>
      </c>
      <c r="G12" s="14"/>
      <c r="H12" s="14"/>
      <c r="I12" s="14"/>
      <c r="J12" s="14"/>
      <c r="K12" s="14">
        <v>0.45</v>
      </c>
      <c r="L12" s="14">
        <v>100</v>
      </c>
      <c r="M12" s="14">
        <v>192.08</v>
      </c>
      <c r="N12" s="14"/>
      <c r="O12" s="14">
        <v>41.67</v>
      </c>
      <c r="P12" s="14">
        <v>13.75</v>
      </c>
      <c r="Q12" s="14"/>
      <c r="R12" s="14"/>
      <c r="S12" s="14"/>
      <c r="T12" s="15">
        <f>SUM(B12:S12)</f>
        <v>2424.46</v>
      </c>
      <c r="U12" s="14"/>
      <c r="V12" s="14"/>
      <c r="W12" s="14">
        <v>55.87</v>
      </c>
      <c r="X12" s="14">
        <v>2.19</v>
      </c>
      <c r="Y12" s="14">
        <v>117.59</v>
      </c>
      <c r="Z12" s="14">
        <v>2.42</v>
      </c>
      <c r="AA12" s="14">
        <v>37.58</v>
      </c>
      <c r="AB12" s="14">
        <v>376.61</v>
      </c>
      <c r="AC12" s="16">
        <f t="shared" si="0"/>
        <v>592.26</v>
      </c>
      <c r="AD12" s="14">
        <f t="shared" si="1"/>
        <v>1832.2</v>
      </c>
      <c r="AE12" s="14">
        <v>0</v>
      </c>
      <c r="AF12" s="14">
        <v>779.46</v>
      </c>
      <c r="AG12" s="14">
        <v>157.59</v>
      </c>
      <c r="AH12" s="14">
        <v>937.05</v>
      </c>
      <c r="AI12" s="14">
        <v>0</v>
      </c>
      <c r="AJ12" s="14">
        <v>0</v>
      </c>
      <c r="AK12" s="14">
        <f t="shared" si="2"/>
        <v>3203.92</v>
      </c>
      <c r="AL12" s="14">
        <v>2424.46</v>
      </c>
      <c r="AM12" s="14">
        <v>2424.46</v>
      </c>
      <c r="AN12" s="14">
        <v>2368.59</v>
      </c>
      <c r="AO12" s="14">
        <v>13.75</v>
      </c>
      <c r="AP12" s="14">
        <v>0</v>
      </c>
      <c r="AQ12" s="17">
        <v>0</v>
      </c>
      <c r="AR12" s="14">
        <v>0</v>
      </c>
      <c r="AS12" s="14">
        <v>160</v>
      </c>
      <c r="AT12" s="14">
        <v>0</v>
      </c>
      <c r="AU12" s="14">
        <v>0</v>
      </c>
      <c r="AV12" s="18">
        <v>30</v>
      </c>
    </row>
    <row r="13" spans="1:48" ht="13.05" customHeight="1" x14ac:dyDescent="0.3">
      <c r="A13" s="13" t="s">
        <v>51</v>
      </c>
      <c r="B13" s="14">
        <v>1283.21</v>
      </c>
      <c r="C13" s="14">
        <v>76.989999999999995</v>
      </c>
      <c r="D13" s="14"/>
      <c r="E13" s="14">
        <v>136.02000000000001</v>
      </c>
      <c r="F13" s="14">
        <v>513.14</v>
      </c>
      <c r="G13" s="14"/>
      <c r="H13" s="14"/>
      <c r="I13" s="14"/>
      <c r="J13" s="14"/>
      <c r="K13" s="14">
        <v>0.45</v>
      </c>
      <c r="L13" s="14">
        <v>100</v>
      </c>
      <c r="M13" s="14">
        <v>226.7</v>
      </c>
      <c r="N13" s="14"/>
      <c r="O13" s="14"/>
      <c r="P13" s="14"/>
      <c r="Q13" s="14"/>
      <c r="R13" s="14"/>
      <c r="S13" s="14"/>
      <c r="T13" s="15">
        <f>SUM(B13:S13)</f>
        <v>2336.5100000000002</v>
      </c>
      <c r="U13" s="14"/>
      <c r="V13" s="14"/>
      <c r="W13" s="14">
        <v>0.45</v>
      </c>
      <c r="X13" s="14"/>
      <c r="Y13" s="14">
        <v>113.32</v>
      </c>
      <c r="Z13" s="14">
        <v>2.34</v>
      </c>
      <c r="AA13" s="14">
        <v>36.22</v>
      </c>
      <c r="AB13" s="14">
        <v>373.77</v>
      </c>
      <c r="AC13" s="16">
        <f t="shared" si="0"/>
        <v>526.09999999999991</v>
      </c>
      <c r="AD13" s="14">
        <f t="shared" si="1"/>
        <v>1810.4100000000003</v>
      </c>
      <c r="AE13" s="14">
        <v>0</v>
      </c>
      <c r="AF13" s="14">
        <v>751.18</v>
      </c>
      <c r="AG13" s="14">
        <v>151.88</v>
      </c>
      <c r="AH13" s="14">
        <v>903.06</v>
      </c>
      <c r="AI13" s="14">
        <v>0</v>
      </c>
      <c r="AJ13" s="14">
        <v>0</v>
      </c>
      <c r="AK13" s="14">
        <f t="shared" si="2"/>
        <v>3087.69</v>
      </c>
      <c r="AL13" s="14">
        <v>2336.5100000000002</v>
      </c>
      <c r="AM13" s="14">
        <v>2336.5100000000002</v>
      </c>
      <c r="AN13" s="14">
        <v>2336.06</v>
      </c>
      <c r="AO13" s="14">
        <v>0</v>
      </c>
      <c r="AP13" s="14">
        <v>0</v>
      </c>
      <c r="AQ13" s="17">
        <v>0</v>
      </c>
      <c r="AR13" s="14">
        <v>0</v>
      </c>
      <c r="AS13" s="14">
        <v>160</v>
      </c>
      <c r="AT13" s="14">
        <v>0</v>
      </c>
      <c r="AU13" s="14">
        <v>0</v>
      </c>
      <c r="AV13" s="18">
        <v>30</v>
      </c>
    </row>
    <row r="14" spans="1:48" ht="13.05" customHeight="1" x14ac:dyDescent="0.3">
      <c r="A14" s="13" t="s">
        <v>52</v>
      </c>
      <c r="B14" s="14">
        <v>1789.56</v>
      </c>
      <c r="C14" s="14">
        <v>214.75</v>
      </c>
      <c r="D14" s="14"/>
      <c r="E14" s="14">
        <v>200.43</v>
      </c>
      <c r="F14" s="14">
        <v>2813.72</v>
      </c>
      <c r="G14" s="14"/>
      <c r="H14" s="14"/>
      <c r="I14" s="14"/>
      <c r="J14" s="14"/>
      <c r="K14" s="14">
        <v>0.45</v>
      </c>
      <c r="L14" s="14">
        <v>100</v>
      </c>
      <c r="M14" s="14">
        <v>334.04</v>
      </c>
      <c r="N14" s="14"/>
      <c r="O14" s="14"/>
      <c r="P14" s="14"/>
      <c r="Q14" s="14"/>
      <c r="R14" s="14"/>
      <c r="S14" s="14"/>
      <c r="T14" s="15">
        <f>SUM(B14:S14)</f>
        <v>5452.9499999999989</v>
      </c>
      <c r="U14" s="14"/>
      <c r="V14" s="14"/>
      <c r="W14" s="14">
        <v>0.45</v>
      </c>
      <c r="X14" s="14"/>
      <c r="Y14" s="14">
        <v>248.08</v>
      </c>
      <c r="Z14" s="14">
        <v>5.0999999999999996</v>
      </c>
      <c r="AA14" s="14">
        <v>79.069999999999993</v>
      </c>
      <c r="AB14" s="14">
        <v>1526.7</v>
      </c>
      <c r="AC14" s="16">
        <f t="shared" si="0"/>
        <v>1859.4</v>
      </c>
      <c r="AD14" s="14">
        <f t="shared" si="1"/>
        <v>3593.5499999999988</v>
      </c>
      <c r="AE14" s="14">
        <v>0</v>
      </c>
      <c r="AF14" s="14">
        <v>1643.41</v>
      </c>
      <c r="AG14" s="14">
        <v>332.25</v>
      </c>
      <c r="AH14" s="14">
        <v>1975.66</v>
      </c>
      <c r="AI14" s="14">
        <v>0</v>
      </c>
      <c r="AJ14" s="14">
        <v>0</v>
      </c>
      <c r="AK14" s="14">
        <f t="shared" si="2"/>
        <v>7096.3599999999988</v>
      </c>
      <c r="AL14" s="14">
        <v>5101.2</v>
      </c>
      <c r="AM14" s="14">
        <v>5101.2</v>
      </c>
      <c r="AN14" s="14">
        <v>5452.5</v>
      </c>
      <c r="AO14" s="14">
        <v>0</v>
      </c>
      <c r="AP14" s="14">
        <v>0</v>
      </c>
      <c r="AQ14" s="17">
        <v>0</v>
      </c>
      <c r="AR14" s="14">
        <v>0</v>
      </c>
      <c r="AS14" s="14">
        <v>160</v>
      </c>
      <c r="AT14" s="14">
        <v>0</v>
      </c>
      <c r="AU14" s="14">
        <v>0</v>
      </c>
      <c r="AV14" s="18">
        <v>30</v>
      </c>
    </row>
    <row r="15" spans="1:48" ht="13.05" customHeight="1" x14ac:dyDescent="0.3">
      <c r="A15" s="13" t="s">
        <v>53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>
        <v>41.67</v>
      </c>
      <c r="P15" s="14">
        <v>33.299999999999997</v>
      </c>
      <c r="Q15" s="14"/>
      <c r="R15" s="14">
        <v>1873.76</v>
      </c>
      <c r="S15" s="14"/>
      <c r="T15" s="15">
        <f>SUM(B15:S15)</f>
        <v>1948.73</v>
      </c>
      <c r="U15" s="14"/>
      <c r="V15" s="14"/>
      <c r="W15" s="14">
        <v>74.97</v>
      </c>
      <c r="X15" s="14">
        <v>5.69</v>
      </c>
      <c r="Y15" s="14">
        <v>129.81</v>
      </c>
      <c r="Z15" s="14">
        <v>2.69</v>
      </c>
      <c r="AA15" s="14">
        <v>41.77</v>
      </c>
      <c r="AB15" s="14">
        <v>320.41000000000003</v>
      </c>
      <c r="AC15" s="16">
        <f t="shared" si="0"/>
        <v>575.34</v>
      </c>
      <c r="AD15" s="14">
        <f t="shared" si="1"/>
        <v>1373.3899999999999</v>
      </c>
      <c r="AE15" s="14">
        <v>0</v>
      </c>
      <c r="AF15" s="14">
        <v>-1011.8</v>
      </c>
      <c r="AG15" s="14">
        <v>174.27</v>
      </c>
      <c r="AH15" s="14">
        <v>-837.53</v>
      </c>
      <c r="AI15" s="14">
        <v>0</v>
      </c>
      <c r="AJ15" s="14">
        <v>0</v>
      </c>
      <c r="AK15" s="14">
        <f t="shared" si="2"/>
        <v>936.93000000000006</v>
      </c>
      <c r="AL15" s="14">
        <v>2676.6</v>
      </c>
      <c r="AM15" s="14">
        <v>2694.9</v>
      </c>
      <c r="AN15" s="14">
        <v>1873.76</v>
      </c>
      <c r="AO15" s="14">
        <v>33.299999999999997</v>
      </c>
      <c r="AP15" s="14">
        <v>0</v>
      </c>
      <c r="AQ15" s="17">
        <v>0</v>
      </c>
      <c r="AR15" s="14">
        <v>0</v>
      </c>
      <c r="AS15" s="14">
        <v>0</v>
      </c>
      <c r="AT15" s="14">
        <v>0</v>
      </c>
      <c r="AU15" s="14">
        <v>0</v>
      </c>
      <c r="AV15" s="18">
        <v>30</v>
      </c>
    </row>
    <row r="16" spans="1:48" ht="13.05" customHeight="1" x14ac:dyDescent="0.3">
      <c r="A16" s="13" t="s">
        <v>54</v>
      </c>
      <c r="B16" s="14">
        <v>1118.99</v>
      </c>
      <c r="C16" s="14">
        <v>100.71</v>
      </c>
      <c r="D16" s="14"/>
      <c r="E16" s="14">
        <v>121.97</v>
      </c>
      <c r="F16" s="14">
        <v>5.57</v>
      </c>
      <c r="G16" s="14"/>
      <c r="H16" s="14"/>
      <c r="I16" s="14"/>
      <c r="J16" s="14"/>
      <c r="K16" s="14">
        <v>0.45</v>
      </c>
      <c r="L16" s="14">
        <v>78.33</v>
      </c>
      <c r="M16" s="14">
        <v>203.28</v>
      </c>
      <c r="N16" s="14"/>
      <c r="O16" s="14"/>
      <c r="P16" s="14"/>
      <c r="Q16" s="14"/>
      <c r="R16" s="14"/>
      <c r="S16" s="14"/>
      <c r="T16" s="15">
        <f>SUM(B16:S16)</f>
        <v>1629.3</v>
      </c>
      <c r="U16" s="14"/>
      <c r="V16" s="14"/>
      <c r="W16" s="14">
        <v>0.45</v>
      </c>
      <c r="X16" s="14"/>
      <c r="Y16" s="14">
        <v>79.02</v>
      </c>
      <c r="Z16" s="14">
        <v>1.63</v>
      </c>
      <c r="AA16" s="14">
        <v>25.25</v>
      </c>
      <c r="AB16" s="14">
        <v>154.74</v>
      </c>
      <c r="AC16" s="16">
        <f t="shared" si="0"/>
        <v>261.09000000000003</v>
      </c>
      <c r="AD16" s="14">
        <f t="shared" si="1"/>
        <v>1368.21</v>
      </c>
      <c r="AE16" s="14">
        <v>0</v>
      </c>
      <c r="AF16" s="14">
        <v>523.83000000000004</v>
      </c>
      <c r="AG16" s="14">
        <v>105.9</v>
      </c>
      <c r="AH16" s="14">
        <v>629.73</v>
      </c>
      <c r="AI16" s="14">
        <v>0</v>
      </c>
      <c r="AJ16" s="14">
        <v>0</v>
      </c>
      <c r="AK16" s="14">
        <f t="shared" si="2"/>
        <v>2153.13</v>
      </c>
      <c r="AL16" s="14">
        <v>1629.3</v>
      </c>
      <c r="AM16" s="14">
        <v>1629.3</v>
      </c>
      <c r="AN16" s="14">
        <v>1628.85</v>
      </c>
      <c r="AO16" s="14">
        <v>0</v>
      </c>
      <c r="AP16" s="14">
        <v>0</v>
      </c>
      <c r="AQ16" s="17">
        <v>0</v>
      </c>
      <c r="AR16" s="14">
        <v>0</v>
      </c>
      <c r="AS16" s="14">
        <v>160</v>
      </c>
      <c r="AT16" s="14">
        <v>0</v>
      </c>
      <c r="AU16" s="14">
        <v>0</v>
      </c>
      <c r="AV16" s="18">
        <v>30</v>
      </c>
    </row>
    <row r="17" spans="1:48" ht="13.05" customHeight="1" x14ac:dyDescent="0.3">
      <c r="A17" s="13" t="s">
        <v>55</v>
      </c>
      <c r="B17" s="14">
        <v>1417.6</v>
      </c>
      <c r="C17" s="14">
        <v>212.64</v>
      </c>
      <c r="D17" s="14">
        <v>66</v>
      </c>
      <c r="E17" s="14">
        <v>163.03</v>
      </c>
      <c r="F17" s="14">
        <v>361.78</v>
      </c>
      <c r="G17" s="14"/>
      <c r="H17" s="14"/>
      <c r="I17" s="14"/>
      <c r="J17" s="14"/>
      <c r="K17" s="14">
        <v>0.45</v>
      </c>
      <c r="L17" s="14">
        <v>100</v>
      </c>
      <c r="M17" s="14">
        <v>271.7</v>
      </c>
      <c r="N17" s="14"/>
      <c r="O17" s="14">
        <v>41.67</v>
      </c>
      <c r="P17" s="14">
        <v>13.75</v>
      </c>
      <c r="Q17" s="14"/>
      <c r="R17" s="14"/>
      <c r="S17" s="14"/>
      <c r="T17" s="15">
        <f>SUM(B17:S17)</f>
        <v>2648.6199999999994</v>
      </c>
      <c r="U17" s="14"/>
      <c r="V17" s="14"/>
      <c r="W17" s="14">
        <v>55.87</v>
      </c>
      <c r="X17" s="14">
        <v>2.3199999999999998</v>
      </c>
      <c r="Y17" s="14">
        <v>128.46</v>
      </c>
      <c r="Z17" s="14">
        <v>2.65</v>
      </c>
      <c r="AA17" s="14">
        <v>41.05</v>
      </c>
      <c r="AB17" s="14">
        <v>438.17</v>
      </c>
      <c r="AC17" s="16">
        <f t="shared" si="0"/>
        <v>668.52</v>
      </c>
      <c r="AD17" s="14">
        <f t="shared" si="1"/>
        <v>1980.0999999999995</v>
      </c>
      <c r="AE17" s="14">
        <v>0</v>
      </c>
      <c r="AF17" s="14">
        <v>851.54</v>
      </c>
      <c r="AG17" s="14">
        <v>172.16</v>
      </c>
      <c r="AH17" s="14">
        <v>1023.7</v>
      </c>
      <c r="AI17" s="14">
        <v>0</v>
      </c>
      <c r="AJ17" s="14">
        <v>0</v>
      </c>
      <c r="AK17" s="14">
        <f t="shared" si="2"/>
        <v>3500.1599999999994</v>
      </c>
      <c r="AL17" s="14">
        <v>2648.62</v>
      </c>
      <c r="AM17" s="14">
        <v>2648.62</v>
      </c>
      <c r="AN17" s="14">
        <v>2592.75</v>
      </c>
      <c r="AO17" s="14">
        <v>13.75</v>
      </c>
      <c r="AP17" s="14">
        <v>0</v>
      </c>
      <c r="AQ17" s="17">
        <v>0</v>
      </c>
      <c r="AR17" s="14">
        <v>0</v>
      </c>
      <c r="AS17" s="14">
        <v>160</v>
      </c>
      <c r="AT17" s="14">
        <v>0</v>
      </c>
      <c r="AU17" s="14">
        <v>0</v>
      </c>
      <c r="AV17" s="18">
        <v>30</v>
      </c>
    </row>
    <row r="18" spans="1:48" ht="13.05" customHeight="1" x14ac:dyDescent="0.3">
      <c r="A18" s="13" t="s">
        <v>56</v>
      </c>
      <c r="B18" s="14">
        <v>1411.28</v>
      </c>
      <c r="C18" s="14"/>
      <c r="D18" s="14"/>
      <c r="E18" s="14">
        <v>117.6</v>
      </c>
      <c r="F18" s="14">
        <v>1211.43</v>
      </c>
      <c r="G18" s="14"/>
      <c r="H18" s="14"/>
      <c r="I18" s="14"/>
      <c r="J18" s="14"/>
      <c r="K18" s="14">
        <v>0.45</v>
      </c>
      <c r="L18" s="14">
        <v>100</v>
      </c>
      <c r="M18" s="14">
        <v>235.2</v>
      </c>
      <c r="N18" s="14"/>
      <c r="O18" s="14">
        <v>41.67</v>
      </c>
      <c r="P18" s="14">
        <v>13.75</v>
      </c>
      <c r="Q18" s="14"/>
      <c r="R18" s="14"/>
      <c r="S18" s="14"/>
      <c r="T18" s="15">
        <f>SUM(B18:S18)</f>
        <v>3131.3799999999997</v>
      </c>
      <c r="U18" s="14"/>
      <c r="V18" s="14"/>
      <c r="W18" s="14">
        <v>55.87</v>
      </c>
      <c r="X18" s="14">
        <v>2.61</v>
      </c>
      <c r="Y18" s="14">
        <v>151.87</v>
      </c>
      <c r="Z18" s="14">
        <v>3.13</v>
      </c>
      <c r="AA18" s="14">
        <v>48.54</v>
      </c>
      <c r="AB18" s="14">
        <v>584.35</v>
      </c>
      <c r="AC18" s="16">
        <f t="shared" si="0"/>
        <v>846.37</v>
      </c>
      <c r="AD18" s="14">
        <f t="shared" si="1"/>
        <v>2285.0099999999998</v>
      </c>
      <c r="AE18" s="14">
        <v>0</v>
      </c>
      <c r="AF18" s="14">
        <v>1006.73</v>
      </c>
      <c r="AG18" s="14">
        <v>203.54</v>
      </c>
      <c r="AH18" s="14">
        <v>1210.27</v>
      </c>
      <c r="AI18" s="14">
        <v>0</v>
      </c>
      <c r="AJ18" s="14">
        <v>0</v>
      </c>
      <c r="AK18" s="14">
        <f t="shared" si="2"/>
        <v>4138.1099999999997</v>
      </c>
      <c r="AL18" s="14">
        <v>3131.38</v>
      </c>
      <c r="AM18" s="14">
        <v>3131.38</v>
      </c>
      <c r="AN18" s="14">
        <v>3075.51</v>
      </c>
      <c r="AO18" s="14">
        <v>13.75</v>
      </c>
      <c r="AP18" s="14">
        <v>0</v>
      </c>
      <c r="AQ18" s="17">
        <v>0</v>
      </c>
      <c r="AR18" s="14">
        <v>0</v>
      </c>
      <c r="AS18" s="14">
        <v>160</v>
      </c>
      <c r="AT18" s="14">
        <v>0</v>
      </c>
      <c r="AU18" s="14">
        <v>0</v>
      </c>
      <c r="AV18" s="18">
        <v>30</v>
      </c>
    </row>
    <row r="19" spans="1:48" ht="13.05" customHeight="1" x14ac:dyDescent="0.3">
      <c r="A19" s="13" t="s">
        <v>57</v>
      </c>
      <c r="B19" s="14">
        <v>1417.6</v>
      </c>
      <c r="C19" s="14">
        <v>42.53</v>
      </c>
      <c r="D19" s="14"/>
      <c r="E19" s="14">
        <v>146.01</v>
      </c>
      <c r="F19" s="14">
        <v>650.94000000000005</v>
      </c>
      <c r="G19" s="14"/>
      <c r="H19" s="14"/>
      <c r="I19" s="14"/>
      <c r="J19" s="14"/>
      <c r="K19" s="14">
        <v>0.45</v>
      </c>
      <c r="L19" s="14">
        <v>100</v>
      </c>
      <c r="M19" s="14">
        <v>243.34</v>
      </c>
      <c r="N19" s="14"/>
      <c r="O19" s="14"/>
      <c r="P19" s="14"/>
      <c r="Q19" s="14"/>
      <c r="R19" s="14"/>
      <c r="S19" s="14"/>
      <c r="T19" s="15">
        <f>SUM(B19:S19)</f>
        <v>2600.87</v>
      </c>
      <c r="U19" s="14"/>
      <c r="V19" s="14"/>
      <c r="W19" s="14">
        <v>0.45</v>
      </c>
      <c r="X19" s="14"/>
      <c r="Y19" s="14">
        <v>126.14</v>
      </c>
      <c r="Z19" s="14">
        <v>2.6</v>
      </c>
      <c r="AA19" s="14">
        <v>40.31</v>
      </c>
      <c r="AB19" s="14">
        <v>451.17</v>
      </c>
      <c r="AC19" s="16">
        <f t="shared" si="0"/>
        <v>620.67000000000007</v>
      </c>
      <c r="AD19" s="14">
        <f t="shared" si="1"/>
        <v>1980.1999999999998</v>
      </c>
      <c r="AE19" s="14">
        <v>0</v>
      </c>
      <c r="AF19" s="14">
        <v>836.2</v>
      </c>
      <c r="AG19" s="14">
        <v>169.05</v>
      </c>
      <c r="AH19" s="14">
        <v>1005.25</v>
      </c>
      <c r="AI19" s="14">
        <v>0</v>
      </c>
      <c r="AJ19" s="14">
        <v>0</v>
      </c>
      <c r="AK19" s="14">
        <f t="shared" si="2"/>
        <v>3437.0699999999997</v>
      </c>
      <c r="AL19" s="14">
        <v>2600.87</v>
      </c>
      <c r="AM19" s="14">
        <v>2600.87</v>
      </c>
      <c r="AN19" s="14">
        <v>2600.42</v>
      </c>
      <c r="AO19" s="14">
        <v>0</v>
      </c>
      <c r="AP19" s="14">
        <v>0</v>
      </c>
      <c r="AQ19" s="17">
        <v>0</v>
      </c>
      <c r="AR19" s="14">
        <v>0</v>
      </c>
      <c r="AS19" s="14">
        <v>160</v>
      </c>
      <c r="AT19" s="14">
        <v>0</v>
      </c>
      <c r="AU19" s="14">
        <v>0</v>
      </c>
      <c r="AV19" s="18">
        <v>30</v>
      </c>
    </row>
    <row r="20" spans="1:48" ht="13.05" customHeight="1" x14ac:dyDescent="0.3">
      <c r="A20" s="13" t="s">
        <v>58</v>
      </c>
      <c r="B20" s="14">
        <v>1426.42</v>
      </c>
      <c r="C20" s="14"/>
      <c r="D20" s="14"/>
      <c r="E20" s="14">
        <v>118.86</v>
      </c>
      <c r="F20" s="14">
        <v>146.96</v>
      </c>
      <c r="G20" s="14"/>
      <c r="H20" s="14"/>
      <c r="I20" s="14">
        <v>256.39</v>
      </c>
      <c r="J20" s="14"/>
      <c r="K20" s="14">
        <v>8.2899999999999991</v>
      </c>
      <c r="L20" s="14">
        <v>100</v>
      </c>
      <c r="M20" s="14">
        <v>237.72</v>
      </c>
      <c r="N20" s="14"/>
      <c r="O20" s="14">
        <v>41.67</v>
      </c>
      <c r="P20" s="14">
        <v>35.270000000000003</v>
      </c>
      <c r="Q20" s="14">
        <v>89.46</v>
      </c>
      <c r="R20" s="14"/>
      <c r="S20" s="14"/>
      <c r="T20" s="15">
        <f>SUM(B20:S20)</f>
        <v>2461.04</v>
      </c>
      <c r="U20" s="14"/>
      <c r="V20" s="14"/>
      <c r="W20" s="14">
        <v>85.23</v>
      </c>
      <c r="X20" s="14">
        <v>5.47</v>
      </c>
      <c r="Y20" s="14">
        <v>119.36</v>
      </c>
      <c r="Z20" s="14">
        <v>2.46</v>
      </c>
      <c r="AA20" s="14">
        <v>38.15</v>
      </c>
      <c r="AB20" s="14">
        <v>368.25</v>
      </c>
      <c r="AC20" s="16">
        <f t="shared" si="0"/>
        <v>618.92000000000007</v>
      </c>
      <c r="AD20" s="14">
        <f t="shared" si="1"/>
        <v>1842.12</v>
      </c>
      <c r="AE20" s="14">
        <v>0</v>
      </c>
      <c r="AF20" s="14">
        <v>794.91</v>
      </c>
      <c r="AG20" s="14">
        <v>159.97</v>
      </c>
      <c r="AH20" s="14">
        <v>954.88</v>
      </c>
      <c r="AI20" s="14">
        <v>0</v>
      </c>
      <c r="AJ20" s="14">
        <v>0</v>
      </c>
      <c r="AK20" s="14">
        <f t="shared" si="2"/>
        <v>3255.95</v>
      </c>
      <c r="AL20" s="14">
        <v>2461.04</v>
      </c>
      <c r="AM20" s="14">
        <v>2461.04</v>
      </c>
      <c r="AN20" s="14">
        <v>2375.81</v>
      </c>
      <c r="AO20" s="14">
        <v>35.270000000000003</v>
      </c>
      <c r="AP20" s="14">
        <v>0</v>
      </c>
      <c r="AQ20" s="17">
        <v>0</v>
      </c>
      <c r="AR20" s="14">
        <v>0</v>
      </c>
      <c r="AS20" s="14">
        <v>160</v>
      </c>
      <c r="AT20" s="14">
        <v>0</v>
      </c>
      <c r="AU20" s="14">
        <v>0</v>
      </c>
      <c r="AV20" s="18">
        <v>30</v>
      </c>
    </row>
    <row r="21" spans="1:48" ht="13.05" customHeight="1" x14ac:dyDescent="0.3">
      <c r="A21" s="13" t="s">
        <v>59</v>
      </c>
      <c r="B21" s="14">
        <v>1283.21</v>
      </c>
      <c r="C21" s="14">
        <v>38.5</v>
      </c>
      <c r="D21" s="14"/>
      <c r="E21" s="14">
        <v>132.16999999999999</v>
      </c>
      <c r="F21" s="14">
        <v>1004.78</v>
      </c>
      <c r="G21" s="14"/>
      <c r="H21" s="14"/>
      <c r="I21" s="14"/>
      <c r="J21" s="14"/>
      <c r="K21" s="14">
        <v>0.45</v>
      </c>
      <c r="L21" s="14">
        <v>100</v>
      </c>
      <c r="M21" s="14">
        <v>220.28</v>
      </c>
      <c r="N21" s="14"/>
      <c r="O21" s="14">
        <v>41.67</v>
      </c>
      <c r="P21" s="14">
        <v>35.270000000000003</v>
      </c>
      <c r="Q21" s="14"/>
      <c r="R21" s="14"/>
      <c r="S21" s="14"/>
      <c r="T21" s="15">
        <f>SUM(B21:S21)</f>
        <v>2856.33</v>
      </c>
      <c r="U21" s="14"/>
      <c r="V21" s="14"/>
      <c r="W21" s="14">
        <v>77.39</v>
      </c>
      <c r="X21" s="14">
        <v>6.44</v>
      </c>
      <c r="Y21" s="14">
        <v>138.53</v>
      </c>
      <c r="Z21" s="14">
        <v>2.86</v>
      </c>
      <c r="AA21" s="14">
        <v>44.27</v>
      </c>
      <c r="AB21" s="14">
        <v>507.16</v>
      </c>
      <c r="AC21" s="16">
        <f t="shared" si="0"/>
        <v>776.65000000000009</v>
      </c>
      <c r="AD21" s="14">
        <f t="shared" si="1"/>
        <v>2079.6799999999998</v>
      </c>
      <c r="AE21" s="14">
        <v>0</v>
      </c>
      <c r="AF21" s="14">
        <v>918.3</v>
      </c>
      <c r="AG21" s="14">
        <v>185.66</v>
      </c>
      <c r="AH21" s="14">
        <v>1103.96</v>
      </c>
      <c r="AI21" s="14">
        <v>0</v>
      </c>
      <c r="AJ21" s="14">
        <v>0</v>
      </c>
      <c r="AK21" s="14">
        <f t="shared" si="2"/>
        <v>3774.63</v>
      </c>
      <c r="AL21" s="14">
        <v>2856.33</v>
      </c>
      <c r="AM21" s="14">
        <v>2856.33</v>
      </c>
      <c r="AN21" s="14">
        <v>2778.94</v>
      </c>
      <c r="AO21" s="14">
        <v>35.270000000000003</v>
      </c>
      <c r="AP21" s="14">
        <v>0</v>
      </c>
      <c r="AQ21" s="17">
        <v>0</v>
      </c>
      <c r="AR21" s="14">
        <v>0</v>
      </c>
      <c r="AS21" s="14">
        <v>160</v>
      </c>
      <c r="AT21" s="14">
        <v>0</v>
      </c>
      <c r="AU21" s="14">
        <v>0</v>
      </c>
      <c r="AV21" s="18">
        <v>30</v>
      </c>
    </row>
    <row r="22" spans="1:48" ht="13.05" customHeight="1" x14ac:dyDescent="0.3">
      <c r="A22" s="13" t="s">
        <v>60</v>
      </c>
      <c r="B22" s="14">
        <v>1078.3599999999999</v>
      </c>
      <c r="C22" s="14">
        <v>64.7</v>
      </c>
      <c r="D22" s="14"/>
      <c r="E22" s="14">
        <v>114.3</v>
      </c>
      <c r="F22" s="14">
        <v>895.38</v>
      </c>
      <c r="G22" s="14"/>
      <c r="H22" s="14"/>
      <c r="I22" s="14"/>
      <c r="J22" s="14"/>
      <c r="K22" s="14">
        <v>0.45</v>
      </c>
      <c r="L22" s="14">
        <v>100</v>
      </c>
      <c r="M22" s="14">
        <v>190.5</v>
      </c>
      <c r="N22" s="14"/>
      <c r="O22" s="14">
        <v>41.67</v>
      </c>
      <c r="P22" s="14">
        <v>35.270000000000003</v>
      </c>
      <c r="Q22" s="14"/>
      <c r="R22" s="14"/>
      <c r="S22" s="14"/>
      <c r="T22" s="15">
        <f>SUM(B22:S22)</f>
        <v>2520.6299999999997</v>
      </c>
      <c r="U22" s="14">
        <v>222.22</v>
      </c>
      <c r="V22" s="14"/>
      <c r="W22" s="14">
        <v>77.39</v>
      </c>
      <c r="X22" s="14">
        <v>6</v>
      </c>
      <c r="Y22" s="14">
        <v>122.25</v>
      </c>
      <c r="Z22" s="14">
        <v>2.52</v>
      </c>
      <c r="AA22" s="14">
        <v>39.07</v>
      </c>
      <c r="AB22" s="14">
        <v>415.35</v>
      </c>
      <c r="AC22" s="16">
        <f t="shared" si="0"/>
        <v>884.8</v>
      </c>
      <c r="AD22" s="14">
        <f t="shared" si="1"/>
        <v>1635.8299999999997</v>
      </c>
      <c r="AE22" s="14">
        <v>0</v>
      </c>
      <c r="AF22" s="14">
        <v>810.38</v>
      </c>
      <c r="AG22" s="14">
        <v>163.84</v>
      </c>
      <c r="AH22" s="14">
        <v>974.22</v>
      </c>
      <c r="AI22" s="14">
        <v>0</v>
      </c>
      <c r="AJ22" s="14">
        <v>0</v>
      </c>
      <c r="AK22" s="14">
        <f t="shared" si="2"/>
        <v>3331.0099999999998</v>
      </c>
      <c r="AL22" s="14">
        <v>2520.63</v>
      </c>
      <c r="AM22" s="14">
        <v>2520.63</v>
      </c>
      <c r="AN22" s="14">
        <v>2443.2399999999998</v>
      </c>
      <c r="AO22" s="14">
        <v>35.270000000000003</v>
      </c>
      <c r="AP22" s="14">
        <v>0</v>
      </c>
      <c r="AQ22" s="17">
        <v>0</v>
      </c>
      <c r="AR22" s="14">
        <v>0</v>
      </c>
      <c r="AS22" s="14">
        <v>160</v>
      </c>
      <c r="AT22" s="14">
        <v>0</v>
      </c>
      <c r="AU22" s="14">
        <v>0</v>
      </c>
      <c r="AV22" s="18">
        <v>30</v>
      </c>
    </row>
    <row r="23" spans="1:48" ht="13.05" customHeight="1" x14ac:dyDescent="0.3">
      <c r="A23" s="13" t="s">
        <v>61</v>
      </c>
      <c r="B23" s="14">
        <v>808.77</v>
      </c>
      <c r="C23" s="14">
        <v>24.26</v>
      </c>
      <c r="D23" s="14"/>
      <c r="E23" s="14">
        <v>83.3</v>
      </c>
      <c r="F23" s="14">
        <v>234.46</v>
      </c>
      <c r="G23" s="14"/>
      <c r="H23" s="14"/>
      <c r="I23" s="14"/>
      <c r="J23" s="14"/>
      <c r="K23" s="14">
        <v>0.45</v>
      </c>
      <c r="L23" s="14">
        <v>75</v>
      </c>
      <c r="M23" s="14">
        <v>138.84</v>
      </c>
      <c r="N23" s="14"/>
      <c r="O23" s="14">
        <v>41.67</v>
      </c>
      <c r="P23" s="14">
        <v>13.75</v>
      </c>
      <c r="Q23" s="14"/>
      <c r="R23" s="14"/>
      <c r="S23" s="14"/>
      <c r="T23" s="15">
        <f>SUM(B23:S23)</f>
        <v>1420.5</v>
      </c>
      <c r="U23" s="14"/>
      <c r="V23" s="14"/>
      <c r="W23" s="14">
        <v>55.87</v>
      </c>
      <c r="X23" s="14">
        <v>0.18</v>
      </c>
      <c r="Y23" s="14">
        <v>68.89</v>
      </c>
      <c r="Z23" s="14">
        <v>1.42</v>
      </c>
      <c r="AA23" s="14">
        <v>22.02</v>
      </c>
      <c r="AB23" s="14">
        <v>17.739999999999998</v>
      </c>
      <c r="AC23" s="16">
        <f t="shared" si="0"/>
        <v>166.12</v>
      </c>
      <c r="AD23" s="14">
        <f t="shared" si="1"/>
        <v>1254.3800000000001</v>
      </c>
      <c r="AE23" s="14">
        <v>0</v>
      </c>
      <c r="AF23" s="14">
        <v>456.68</v>
      </c>
      <c r="AG23" s="14">
        <v>92.33</v>
      </c>
      <c r="AH23" s="14">
        <v>549.01</v>
      </c>
      <c r="AI23" s="14">
        <v>0</v>
      </c>
      <c r="AJ23" s="14">
        <v>0</v>
      </c>
      <c r="AK23" s="14">
        <f t="shared" si="2"/>
        <v>1877.18</v>
      </c>
      <c r="AL23" s="14">
        <v>1420.5</v>
      </c>
      <c r="AM23" s="14">
        <v>1420.5</v>
      </c>
      <c r="AN23" s="14">
        <v>1364.63</v>
      </c>
      <c r="AO23" s="14">
        <v>13.75</v>
      </c>
      <c r="AP23" s="14">
        <v>0</v>
      </c>
      <c r="AQ23" s="17">
        <v>0</v>
      </c>
      <c r="AR23" s="14">
        <v>0</v>
      </c>
      <c r="AS23" s="14">
        <v>120</v>
      </c>
      <c r="AT23" s="14">
        <v>0</v>
      </c>
      <c r="AU23" s="14">
        <v>0</v>
      </c>
      <c r="AV23" s="18">
        <v>30</v>
      </c>
    </row>
    <row r="24" spans="1:48" ht="13.05" customHeight="1" x14ac:dyDescent="0.3">
      <c r="A24" s="13" t="s">
        <v>62</v>
      </c>
      <c r="B24" s="14">
        <v>1789.56</v>
      </c>
      <c r="C24" s="14">
        <v>53.69</v>
      </c>
      <c r="D24" s="14"/>
      <c r="E24" s="14">
        <v>184.33</v>
      </c>
      <c r="F24" s="14">
        <v>1317.08</v>
      </c>
      <c r="G24" s="14"/>
      <c r="H24" s="14"/>
      <c r="I24" s="14"/>
      <c r="J24" s="14"/>
      <c r="K24" s="14">
        <v>0.45</v>
      </c>
      <c r="L24" s="14">
        <v>100</v>
      </c>
      <c r="M24" s="14">
        <v>307.2</v>
      </c>
      <c r="N24" s="14">
        <v>15</v>
      </c>
      <c r="O24" s="14">
        <v>41.67</v>
      </c>
      <c r="P24" s="14">
        <v>13.75</v>
      </c>
      <c r="Q24" s="14"/>
      <c r="R24" s="14"/>
      <c r="S24" s="14">
        <v>26.67</v>
      </c>
      <c r="T24" s="15">
        <f>SUM(B24:S24)</f>
        <v>3849.3999999999996</v>
      </c>
      <c r="U24" s="14"/>
      <c r="V24" s="14">
        <v>26.67</v>
      </c>
      <c r="W24" s="14">
        <v>55.87</v>
      </c>
      <c r="X24" s="14">
        <v>2.97</v>
      </c>
      <c r="Y24" s="14">
        <v>185.4</v>
      </c>
      <c r="Z24" s="14">
        <v>3.82</v>
      </c>
      <c r="AA24" s="14">
        <v>59.25</v>
      </c>
      <c r="AB24" s="14">
        <v>813.64</v>
      </c>
      <c r="AC24" s="16">
        <f t="shared" si="0"/>
        <v>1147.6199999999999</v>
      </c>
      <c r="AD24" s="14">
        <f t="shared" si="1"/>
        <v>2701.7799999999997</v>
      </c>
      <c r="AE24" s="14">
        <v>0</v>
      </c>
      <c r="AF24" s="14">
        <v>1229.01</v>
      </c>
      <c r="AG24" s="14">
        <v>248.47</v>
      </c>
      <c r="AH24" s="14">
        <v>1477.48</v>
      </c>
      <c r="AI24" s="14">
        <v>0</v>
      </c>
      <c r="AJ24" s="14">
        <v>0</v>
      </c>
      <c r="AK24" s="14">
        <f t="shared" si="2"/>
        <v>5078.41</v>
      </c>
      <c r="AL24" s="14">
        <v>3822.73</v>
      </c>
      <c r="AM24" s="14">
        <v>3822.73</v>
      </c>
      <c r="AN24" s="14">
        <v>3766.86</v>
      </c>
      <c r="AO24" s="14">
        <v>13.75</v>
      </c>
      <c r="AP24" s="14">
        <v>0</v>
      </c>
      <c r="AQ24" s="17">
        <v>0</v>
      </c>
      <c r="AR24" s="14">
        <v>0</v>
      </c>
      <c r="AS24" s="14">
        <v>160</v>
      </c>
      <c r="AT24" s="14">
        <v>0</v>
      </c>
      <c r="AU24" s="14">
        <v>0</v>
      </c>
      <c r="AV24" s="18">
        <v>30</v>
      </c>
    </row>
    <row r="25" spans="1:48" ht="13.05" customHeight="1" x14ac:dyDescent="0.3">
      <c r="A25" s="13" t="s">
        <v>63</v>
      </c>
      <c r="B25" s="14">
        <v>1417.6</v>
      </c>
      <c r="C25" s="14"/>
      <c r="D25" s="14"/>
      <c r="E25" s="14">
        <v>141.76</v>
      </c>
      <c r="F25" s="14">
        <v>1885.79</v>
      </c>
      <c r="G25" s="14"/>
      <c r="H25" s="14"/>
      <c r="I25" s="14"/>
      <c r="J25" s="14"/>
      <c r="K25" s="14">
        <v>0.45</v>
      </c>
      <c r="L25" s="14">
        <v>100</v>
      </c>
      <c r="M25" s="14">
        <v>236.26</v>
      </c>
      <c r="N25" s="14"/>
      <c r="O25" s="14">
        <v>125</v>
      </c>
      <c r="P25" s="14">
        <v>105.82</v>
      </c>
      <c r="Q25" s="14"/>
      <c r="R25" s="14"/>
      <c r="S25" s="14"/>
      <c r="T25" s="15">
        <f>SUM(B25:S25)</f>
        <v>4012.68</v>
      </c>
      <c r="U25" s="14"/>
      <c r="V25" s="14"/>
      <c r="W25" s="14">
        <v>231.27</v>
      </c>
      <c r="X25" s="14">
        <v>21.96</v>
      </c>
      <c r="Y25" s="14">
        <v>194.62</v>
      </c>
      <c r="Z25" s="14">
        <v>4.01</v>
      </c>
      <c r="AA25" s="14">
        <v>62.2</v>
      </c>
      <c r="AB25" s="14">
        <v>784.64</v>
      </c>
      <c r="AC25" s="16">
        <f t="shared" si="0"/>
        <v>1298.7</v>
      </c>
      <c r="AD25" s="14">
        <f t="shared" si="1"/>
        <v>2713.9799999999996</v>
      </c>
      <c r="AE25" s="14">
        <v>0</v>
      </c>
      <c r="AF25" s="14">
        <v>1290.07</v>
      </c>
      <c r="AG25" s="14">
        <v>260.83</v>
      </c>
      <c r="AH25" s="14">
        <v>1550.9</v>
      </c>
      <c r="AI25" s="14">
        <v>0</v>
      </c>
      <c r="AJ25" s="14">
        <v>0</v>
      </c>
      <c r="AK25" s="14">
        <f t="shared" si="2"/>
        <v>5302.75</v>
      </c>
      <c r="AL25" s="14">
        <v>4012.68</v>
      </c>
      <c r="AM25" s="14">
        <v>4012.68</v>
      </c>
      <c r="AN25" s="14">
        <v>3781.41</v>
      </c>
      <c r="AO25" s="14">
        <v>105.82</v>
      </c>
      <c r="AP25" s="14">
        <v>0</v>
      </c>
      <c r="AQ25" s="17">
        <v>0</v>
      </c>
      <c r="AR25" s="14">
        <v>0</v>
      </c>
      <c r="AS25" s="14">
        <v>160</v>
      </c>
      <c r="AT25" s="14">
        <v>0</v>
      </c>
      <c r="AU25" s="14">
        <v>0</v>
      </c>
      <c r="AV25" s="18">
        <v>30</v>
      </c>
    </row>
    <row r="26" spans="1:48" ht="13.05" customHeight="1" x14ac:dyDescent="0.3">
      <c r="A26" s="13" t="s">
        <v>64</v>
      </c>
      <c r="B26" s="14">
        <v>1078.3599999999999</v>
      </c>
      <c r="C26" s="14"/>
      <c r="D26" s="14"/>
      <c r="E26" s="14">
        <v>107.84</v>
      </c>
      <c r="F26" s="14">
        <v>191.73</v>
      </c>
      <c r="G26" s="14"/>
      <c r="H26" s="14"/>
      <c r="I26" s="14"/>
      <c r="J26" s="14"/>
      <c r="K26" s="14">
        <v>0.45</v>
      </c>
      <c r="L26" s="14">
        <v>100</v>
      </c>
      <c r="M26" s="14">
        <v>179.72</v>
      </c>
      <c r="N26" s="14"/>
      <c r="O26" s="14">
        <v>41.67</v>
      </c>
      <c r="P26" s="14">
        <v>13.75</v>
      </c>
      <c r="Q26" s="14"/>
      <c r="R26" s="14"/>
      <c r="S26" s="14"/>
      <c r="T26" s="15">
        <f>SUM(B26:S26)</f>
        <v>1713.52</v>
      </c>
      <c r="U26" s="14"/>
      <c r="V26" s="14"/>
      <c r="W26" s="14">
        <v>55.87</v>
      </c>
      <c r="X26" s="14">
        <v>1.07</v>
      </c>
      <c r="Y26" s="14">
        <v>83.11</v>
      </c>
      <c r="Z26" s="14">
        <v>1.71</v>
      </c>
      <c r="AA26" s="14">
        <v>26.56</v>
      </c>
      <c r="AB26" s="14">
        <v>129.30000000000001</v>
      </c>
      <c r="AC26" s="16">
        <f t="shared" si="0"/>
        <v>297.62</v>
      </c>
      <c r="AD26" s="14">
        <f t="shared" si="1"/>
        <v>1415.9</v>
      </c>
      <c r="AE26" s="14">
        <v>0</v>
      </c>
      <c r="AF26" s="14">
        <v>550.89</v>
      </c>
      <c r="AG26" s="14">
        <v>111.38</v>
      </c>
      <c r="AH26" s="14">
        <v>662.27</v>
      </c>
      <c r="AI26" s="14">
        <v>0</v>
      </c>
      <c r="AJ26" s="14">
        <v>0</v>
      </c>
      <c r="AK26" s="14">
        <f t="shared" si="2"/>
        <v>2264.41</v>
      </c>
      <c r="AL26" s="14">
        <v>1713.52</v>
      </c>
      <c r="AM26" s="14">
        <v>1713.52</v>
      </c>
      <c r="AN26" s="14">
        <v>1657.65</v>
      </c>
      <c r="AO26" s="14">
        <v>13.75</v>
      </c>
      <c r="AP26" s="14">
        <v>0</v>
      </c>
      <c r="AQ26" s="17">
        <v>0</v>
      </c>
      <c r="AR26" s="14">
        <v>0</v>
      </c>
      <c r="AS26" s="14">
        <v>160</v>
      </c>
      <c r="AT26" s="14">
        <v>0</v>
      </c>
      <c r="AU26" s="14">
        <v>0</v>
      </c>
      <c r="AV26" s="18">
        <v>30</v>
      </c>
    </row>
    <row r="27" spans="1:48" ht="13.05" customHeight="1" x14ac:dyDescent="0.3">
      <c r="A27" s="13" t="s">
        <v>65</v>
      </c>
      <c r="B27" s="14">
        <v>1417.6</v>
      </c>
      <c r="C27" s="14"/>
      <c r="D27" s="14"/>
      <c r="E27" s="14">
        <v>141.76</v>
      </c>
      <c r="F27" s="14">
        <v>2039.67</v>
      </c>
      <c r="G27" s="14"/>
      <c r="H27" s="14"/>
      <c r="I27" s="14"/>
      <c r="J27" s="14"/>
      <c r="K27" s="14">
        <v>0.45</v>
      </c>
      <c r="L27" s="14">
        <v>100</v>
      </c>
      <c r="M27" s="14">
        <v>236.26</v>
      </c>
      <c r="N27" s="14"/>
      <c r="O27" s="14">
        <v>41.67</v>
      </c>
      <c r="P27" s="14">
        <v>35.270000000000003</v>
      </c>
      <c r="Q27" s="14"/>
      <c r="R27" s="14"/>
      <c r="S27" s="14"/>
      <c r="T27" s="15">
        <f>SUM(B27:S27)</f>
        <v>4012.68</v>
      </c>
      <c r="U27" s="14"/>
      <c r="V27" s="14"/>
      <c r="W27" s="14">
        <v>77.39</v>
      </c>
      <c r="X27" s="14">
        <v>8.11</v>
      </c>
      <c r="Y27" s="14">
        <v>194.62</v>
      </c>
      <c r="Z27" s="14">
        <v>4.01</v>
      </c>
      <c r="AA27" s="14">
        <v>62.2</v>
      </c>
      <c r="AB27" s="14">
        <v>905.12</v>
      </c>
      <c r="AC27" s="16">
        <f t="shared" si="0"/>
        <v>1251.45</v>
      </c>
      <c r="AD27" s="14">
        <f t="shared" si="1"/>
        <v>2761.2299999999996</v>
      </c>
      <c r="AE27" s="14">
        <v>0</v>
      </c>
      <c r="AF27" s="14">
        <v>1290.07</v>
      </c>
      <c r="AG27" s="14">
        <v>260.83</v>
      </c>
      <c r="AH27" s="14">
        <v>1550.9</v>
      </c>
      <c r="AI27" s="14">
        <v>0</v>
      </c>
      <c r="AJ27" s="14">
        <v>0</v>
      </c>
      <c r="AK27" s="14">
        <f t="shared" si="2"/>
        <v>5302.75</v>
      </c>
      <c r="AL27" s="14">
        <v>4012.68</v>
      </c>
      <c r="AM27" s="14">
        <v>4012.68</v>
      </c>
      <c r="AN27" s="14">
        <v>3935.29</v>
      </c>
      <c r="AO27" s="14">
        <v>35.270000000000003</v>
      </c>
      <c r="AP27" s="14">
        <v>0</v>
      </c>
      <c r="AQ27" s="17">
        <v>0</v>
      </c>
      <c r="AR27" s="14">
        <v>0</v>
      </c>
      <c r="AS27" s="14">
        <v>160</v>
      </c>
      <c r="AT27" s="14">
        <v>0</v>
      </c>
      <c r="AU27" s="14">
        <v>0</v>
      </c>
      <c r="AV27" s="18">
        <v>30</v>
      </c>
    </row>
    <row r="28" spans="1:48" ht="13.05" customHeight="1" x14ac:dyDescent="0.3">
      <c r="A28" s="13" t="s">
        <v>66</v>
      </c>
      <c r="B28" s="14">
        <v>1283.21</v>
      </c>
      <c r="C28" s="14"/>
      <c r="D28" s="14"/>
      <c r="E28" s="14">
        <v>128.32</v>
      </c>
      <c r="F28" s="14">
        <v>1183.45</v>
      </c>
      <c r="G28" s="14"/>
      <c r="H28" s="14"/>
      <c r="I28" s="14"/>
      <c r="J28" s="14"/>
      <c r="K28" s="14">
        <v>0.45</v>
      </c>
      <c r="L28" s="14">
        <v>100</v>
      </c>
      <c r="M28" s="14">
        <v>213.86</v>
      </c>
      <c r="N28" s="14"/>
      <c r="O28" s="14">
        <v>41.67</v>
      </c>
      <c r="P28" s="14">
        <v>13.75</v>
      </c>
      <c r="Q28" s="14"/>
      <c r="R28" s="14"/>
      <c r="S28" s="14"/>
      <c r="T28" s="15">
        <f>SUM(B28:S28)</f>
        <v>2964.71</v>
      </c>
      <c r="U28" s="14"/>
      <c r="V28" s="14"/>
      <c r="W28" s="14">
        <v>55.87</v>
      </c>
      <c r="X28" s="14">
        <v>2.5</v>
      </c>
      <c r="Y28" s="14">
        <v>143.79</v>
      </c>
      <c r="Z28" s="14">
        <v>2.96</v>
      </c>
      <c r="AA28" s="14">
        <v>45.95</v>
      </c>
      <c r="AB28" s="14">
        <v>529.41</v>
      </c>
      <c r="AC28" s="16">
        <f t="shared" si="0"/>
        <v>780.48</v>
      </c>
      <c r="AD28" s="14">
        <f t="shared" si="1"/>
        <v>2184.23</v>
      </c>
      <c r="AE28" s="14">
        <v>0</v>
      </c>
      <c r="AF28" s="14">
        <v>953.15</v>
      </c>
      <c r="AG28" s="14">
        <v>192.7</v>
      </c>
      <c r="AH28" s="14">
        <v>1145.8499999999999</v>
      </c>
      <c r="AI28" s="14">
        <v>0</v>
      </c>
      <c r="AJ28" s="14">
        <v>0</v>
      </c>
      <c r="AK28" s="14">
        <f t="shared" si="2"/>
        <v>3917.86</v>
      </c>
      <c r="AL28" s="14">
        <v>2964.71</v>
      </c>
      <c r="AM28" s="14">
        <v>2964.71</v>
      </c>
      <c r="AN28" s="14">
        <v>2908.84</v>
      </c>
      <c r="AO28" s="14">
        <v>13.75</v>
      </c>
      <c r="AP28" s="14">
        <v>0</v>
      </c>
      <c r="AQ28" s="17">
        <v>0</v>
      </c>
      <c r="AR28" s="14">
        <v>0</v>
      </c>
      <c r="AS28" s="14">
        <v>160</v>
      </c>
      <c r="AT28" s="14">
        <v>0</v>
      </c>
      <c r="AU28" s="14">
        <v>0</v>
      </c>
      <c r="AV28" s="18">
        <v>30</v>
      </c>
    </row>
    <row r="29" spans="1:48" ht="13.05" customHeight="1" x14ac:dyDescent="0.3">
      <c r="A29" s="13" t="s">
        <v>67</v>
      </c>
      <c r="B29" s="14">
        <v>1078.3599999999999</v>
      </c>
      <c r="C29" s="14"/>
      <c r="D29" s="14"/>
      <c r="E29" s="14">
        <v>107.84</v>
      </c>
      <c r="F29" s="14">
        <v>592.91999999999996</v>
      </c>
      <c r="G29" s="14"/>
      <c r="H29" s="14"/>
      <c r="I29" s="14"/>
      <c r="J29" s="14"/>
      <c r="K29" s="14">
        <v>0.45</v>
      </c>
      <c r="L29" s="14">
        <v>100</v>
      </c>
      <c r="M29" s="14">
        <v>179.72</v>
      </c>
      <c r="N29" s="14"/>
      <c r="O29" s="14">
        <v>41.67</v>
      </c>
      <c r="P29" s="14">
        <v>13.75</v>
      </c>
      <c r="Q29" s="14"/>
      <c r="R29" s="14"/>
      <c r="S29" s="14"/>
      <c r="T29" s="15">
        <f>SUM(B29:S29)</f>
        <v>2114.71</v>
      </c>
      <c r="U29" s="14"/>
      <c r="V29" s="14"/>
      <c r="W29" s="14">
        <v>55.87</v>
      </c>
      <c r="X29" s="14">
        <v>1.93</v>
      </c>
      <c r="Y29" s="14">
        <v>102.56</v>
      </c>
      <c r="Z29" s="14">
        <v>2.11</v>
      </c>
      <c r="AA29" s="14">
        <v>32.78</v>
      </c>
      <c r="AB29" s="14">
        <v>288.24</v>
      </c>
      <c r="AC29" s="16">
        <f t="shared" si="0"/>
        <v>483.49</v>
      </c>
      <c r="AD29" s="14">
        <f t="shared" si="1"/>
        <v>1631.22</v>
      </c>
      <c r="AE29" s="14">
        <v>0</v>
      </c>
      <c r="AF29" s="14">
        <v>679.88</v>
      </c>
      <c r="AG29" s="14">
        <v>137.44999999999999</v>
      </c>
      <c r="AH29" s="14">
        <v>817.33</v>
      </c>
      <c r="AI29" s="14">
        <v>0</v>
      </c>
      <c r="AJ29" s="14">
        <v>0</v>
      </c>
      <c r="AK29" s="14">
        <f t="shared" si="2"/>
        <v>2794.59</v>
      </c>
      <c r="AL29" s="14">
        <v>2114.71</v>
      </c>
      <c r="AM29" s="14">
        <v>2114.71</v>
      </c>
      <c r="AN29" s="14">
        <v>2058.84</v>
      </c>
      <c r="AO29" s="14">
        <v>13.75</v>
      </c>
      <c r="AP29" s="14">
        <v>0</v>
      </c>
      <c r="AQ29" s="17">
        <v>0</v>
      </c>
      <c r="AR29" s="14">
        <v>0</v>
      </c>
      <c r="AS29" s="14">
        <v>160</v>
      </c>
      <c r="AT29" s="14">
        <v>0</v>
      </c>
      <c r="AU29" s="14">
        <v>0</v>
      </c>
      <c r="AV29" s="18">
        <v>30</v>
      </c>
    </row>
    <row r="30" spans="1:48" ht="13.05" customHeight="1" x14ac:dyDescent="0.3">
      <c r="A30" s="13" t="s">
        <v>68</v>
      </c>
      <c r="B30" s="14">
        <v>1421</v>
      </c>
      <c r="C30" s="14"/>
      <c r="D30" s="14"/>
      <c r="E30" s="14">
        <v>119.6</v>
      </c>
      <c r="F30" s="14">
        <v>1155.54</v>
      </c>
      <c r="G30" s="14"/>
      <c r="H30" s="14">
        <v>14.21</v>
      </c>
      <c r="I30" s="14">
        <v>59.5</v>
      </c>
      <c r="J30" s="14"/>
      <c r="K30" s="14">
        <v>5.0199999999999996</v>
      </c>
      <c r="L30" s="14">
        <v>100</v>
      </c>
      <c r="M30" s="14">
        <v>239.2</v>
      </c>
      <c r="N30" s="14"/>
      <c r="O30" s="14">
        <v>41.67</v>
      </c>
      <c r="P30" s="14">
        <v>35.270000000000003</v>
      </c>
      <c r="Q30" s="14">
        <v>119.14</v>
      </c>
      <c r="R30" s="14"/>
      <c r="S30" s="14"/>
      <c r="T30" s="15">
        <f>SUM(B30:S30)</f>
        <v>3310.1499999999996</v>
      </c>
      <c r="U30" s="14"/>
      <c r="V30" s="14"/>
      <c r="W30" s="14">
        <v>81.96</v>
      </c>
      <c r="X30" s="14">
        <v>7.41</v>
      </c>
      <c r="Y30" s="14">
        <v>160.55000000000001</v>
      </c>
      <c r="Z30" s="14">
        <v>3.31</v>
      </c>
      <c r="AA30" s="14">
        <v>51.31</v>
      </c>
      <c r="AB30" s="14">
        <v>677.92</v>
      </c>
      <c r="AC30" s="16">
        <f t="shared" si="0"/>
        <v>982.46</v>
      </c>
      <c r="AD30" s="14">
        <f t="shared" si="1"/>
        <v>2327.6899999999996</v>
      </c>
      <c r="AE30" s="14">
        <v>0</v>
      </c>
      <c r="AF30" s="14">
        <v>1069.17</v>
      </c>
      <c r="AG30" s="14">
        <v>215.17</v>
      </c>
      <c r="AH30" s="14">
        <v>1284.3399999999999</v>
      </c>
      <c r="AI30" s="14">
        <v>0</v>
      </c>
      <c r="AJ30" s="14">
        <v>0</v>
      </c>
      <c r="AK30" s="14">
        <f t="shared" si="2"/>
        <v>4379.32</v>
      </c>
      <c r="AL30" s="14">
        <v>3310.15</v>
      </c>
      <c r="AM30" s="14">
        <v>3310.15</v>
      </c>
      <c r="AN30" s="14">
        <v>3228.19</v>
      </c>
      <c r="AO30" s="14">
        <v>35.270000000000003</v>
      </c>
      <c r="AP30" s="14">
        <v>0</v>
      </c>
      <c r="AQ30" s="17">
        <v>0</v>
      </c>
      <c r="AR30" s="14">
        <v>0</v>
      </c>
      <c r="AS30" s="14">
        <v>160</v>
      </c>
      <c r="AT30" s="14">
        <v>0</v>
      </c>
      <c r="AU30" s="14">
        <v>0</v>
      </c>
      <c r="AV30" s="18">
        <v>30</v>
      </c>
    </row>
    <row r="31" spans="1:48" ht="13.05" customHeight="1" x14ac:dyDescent="0.3">
      <c r="A31" s="13" t="s">
        <v>69</v>
      </c>
      <c r="B31" s="14">
        <v>943.57</v>
      </c>
      <c r="C31" s="14"/>
      <c r="D31" s="14"/>
      <c r="E31" s="14">
        <v>94.36</v>
      </c>
      <c r="F31" s="14">
        <v>457.69</v>
      </c>
      <c r="G31" s="14"/>
      <c r="H31" s="14"/>
      <c r="I31" s="14"/>
      <c r="J31" s="14"/>
      <c r="K31" s="14">
        <v>0.45</v>
      </c>
      <c r="L31" s="14">
        <v>87.5</v>
      </c>
      <c r="M31" s="14">
        <v>157.26</v>
      </c>
      <c r="N31" s="14"/>
      <c r="O31" s="14">
        <v>41.67</v>
      </c>
      <c r="P31" s="14">
        <v>13.75</v>
      </c>
      <c r="Q31" s="14"/>
      <c r="R31" s="14"/>
      <c r="S31" s="14"/>
      <c r="T31" s="15">
        <f>SUM(B31:S31)</f>
        <v>1796.2500000000002</v>
      </c>
      <c r="U31" s="14"/>
      <c r="V31" s="14"/>
      <c r="W31" s="14">
        <v>55.87</v>
      </c>
      <c r="X31" s="14">
        <v>1.33</v>
      </c>
      <c r="Y31" s="14">
        <v>87.11</v>
      </c>
      <c r="Z31" s="14">
        <v>1.8</v>
      </c>
      <c r="AA31" s="14">
        <v>27.84</v>
      </c>
      <c r="AB31" s="14">
        <v>167.95</v>
      </c>
      <c r="AC31" s="16">
        <f t="shared" si="0"/>
        <v>341.9</v>
      </c>
      <c r="AD31" s="14">
        <f t="shared" si="1"/>
        <v>1454.3500000000004</v>
      </c>
      <c r="AE31" s="14">
        <v>0</v>
      </c>
      <c r="AF31" s="14">
        <v>577.5</v>
      </c>
      <c r="AG31" s="14">
        <v>116.75</v>
      </c>
      <c r="AH31" s="14">
        <v>694.25</v>
      </c>
      <c r="AI31" s="14">
        <v>0</v>
      </c>
      <c r="AJ31" s="14">
        <v>0</v>
      </c>
      <c r="AK31" s="14">
        <f t="shared" si="2"/>
        <v>2373.75</v>
      </c>
      <c r="AL31" s="14">
        <v>1796.25</v>
      </c>
      <c r="AM31" s="14">
        <v>1796.25</v>
      </c>
      <c r="AN31" s="14">
        <v>1740.38</v>
      </c>
      <c r="AO31" s="14">
        <v>13.75</v>
      </c>
      <c r="AP31" s="14">
        <v>0</v>
      </c>
      <c r="AQ31" s="17">
        <v>0</v>
      </c>
      <c r="AR31" s="14">
        <v>0</v>
      </c>
      <c r="AS31" s="14">
        <v>140</v>
      </c>
      <c r="AT31" s="14">
        <v>0</v>
      </c>
      <c r="AU31" s="14">
        <v>0</v>
      </c>
      <c r="AV31" s="18">
        <v>30</v>
      </c>
    </row>
    <row r="32" spans="1:48" ht="13.05" customHeight="1" x14ac:dyDescent="0.3">
      <c r="A32" s="13" t="s">
        <v>70</v>
      </c>
      <c r="B32" s="14">
        <v>1262.74</v>
      </c>
      <c r="C32" s="14"/>
      <c r="D32" s="14"/>
      <c r="E32" s="14"/>
      <c r="F32" s="14">
        <v>545.69000000000005</v>
      </c>
      <c r="G32" s="14"/>
      <c r="H32" s="14"/>
      <c r="I32" s="14">
        <v>17.47</v>
      </c>
      <c r="J32" s="14"/>
      <c r="K32" s="14">
        <v>0.45</v>
      </c>
      <c r="L32" s="14">
        <v>150</v>
      </c>
      <c r="M32" s="14">
        <v>315.69</v>
      </c>
      <c r="N32" s="14"/>
      <c r="O32" s="14">
        <v>41.67</v>
      </c>
      <c r="P32" s="14">
        <v>13.75</v>
      </c>
      <c r="Q32" s="14">
        <v>158.16999999999999</v>
      </c>
      <c r="R32" s="14"/>
      <c r="S32" s="14"/>
      <c r="T32" s="15">
        <f>SUM(B32:S32)</f>
        <v>2505.63</v>
      </c>
      <c r="U32" s="14"/>
      <c r="V32" s="14"/>
      <c r="W32" s="14">
        <v>55.87</v>
      </c>
      <c r="X32" s="14">
        <v>2.34</v>
      </c>
      <c r="Y32" s="14">
        <v>121.52</v>
      </c>
      <c r="Z32" s="14">
        <v>2.5099999999999998</v>
      </c>
      <c r="AA32" s="14">
        <v>38.840000000000003</v>
      </c>
      <c r="AB32" s="14">
        <v>416.46</v>
      </c>
      <c r="AC32" s="16">
        <f t="shared" si="0"/>
        <v>637.54</v>
      </c>
      <c r="AD32" s="14">
        <f t="shared" si="1"/>
        <v>1868.0900000000001</v>
      </c>
      <c r="AE32" s="14">
        <v>0</v>
      </c>
      <c r="AF32" s="14">
        <v>809.31</v>
      </c>
      <c r="AG32" s="14">
        <v>162.87</v>
      </c>
      <c r="AH32" s="14">
        <v>972.18</v>
      </c>
      <c r="AI32" s="14">
        <v>0</v>
      </c>
      <c r="AJ32" s="14">
        <v>0</v>
      </c>
      <c r="AK32" s="14">
        <f t="shared" si="2"/>
        <v>3314.94</v>
      </c>
      <c r="AL32" s="14">
        <v>2505.63</v>
      </c>
      <c r="AM32" s="14">
        <v>2505.63</v>
      </c>
      <c r="AN32" s="14">
        <v>2449.7600000000002</v>
      </c>
      <c r="AO32" s="14">
        <v>13.75</v>
      </c>
      <c r="AP32" s="14">
        <v>0</v>
      </c>
      <c r="AQ32" s="17">
        <v>0</v>
      </c>
      <c r="AR32" s="14">
        <v>0</v>
      </c>
      <c r="AS32" s="14">
        <v>160</v>
      </c>
      <c r="AT32" s="14">
        <v>0</v>
      </c>
      <c r="AU32" s="14">
        <v>0</v>
      </c>
      <c r="AV32" s="18">
        <v>30</v>
      </c>
    </row>
    <row r="33" spans="1:48" ht="13.05" customHeight="1" x14ac:dyDescent="0.3">
      <c r="A33" s="13" t="s">
        <v>71</v>
      </c>
      <c r="B33" s="14">
        <v>162.6</v>
      </c>
      <c r="C33" s="14"/>
      <c r="D33" s="14"/>
      <c r="E33" s="14">
        <v>13.69</v>
      </c>
      <c r="F33" s="14">
        <v>18.14</v>
      </c>
      <c r="G33" s="14"/>
      <c r="H33" s="14">
        <v>1.63</v>
      </c>
      <c r="I33" s="14"/>
      <c r="J33" s="14"/>
      <c r="K33" s="14">
        <v>0.67</v>
      </c>
      <c r="L33" s="14"/>
      <c r="M33" s="14">
        <v>27.38</v>
      </c>
      <c r="N33" s="14"/>
      <c r="O33" s="14"/>
      <c r="P33" s="14"/>
      <c r="Q33" s="14">
        <v>15.89</v>
      </c>
      <c r="R33" s="14"/>
      <c r="S33" s="14"/>
      <c r="T33" s="15">
        <f>SUM(B33:S33)</f>
        <v>240</v>
      </c>
      <c r="U33" s="14"/>
      <c r="V33" s="14"/>
      <c r="W33" s="14">
        <v>0.67</v>
      </c>
      <c r="X33" s="14"/>
      <c r="Y33" s="14">
        <v>11.64</v>
      </c>
      <c r="Z33" s="14">
        <v>0.24</v>
      </c>
      <c r="AA33" s="14">
        <v>3.72</v>
      </c>
      <c r="AB33" s="14">
        <v>14.36</v>
      </c>
      <c r="AC33" s="16">
        <f t="shared" si="0"/>
        <v>30.63</v>
      </c>
      <c r="AD33" s="14">
        <f t="shared" si="1"/>
        <v>209.37</v>
      </c>
      <c r="AE33" s="14">
        <v>0</v>
      </c>
      <c r="AF33" s="14">
        <v>42.6</v>
      </c>
      <c r="AG33" s="14">
        <v>15.6</v>
      </c>
      <c r="AH33" s="14">
        <v>58.2</v>
      </c>
      <c r="AI33" s="14">
        <v>0</v>
      </c>
      <c r="AJ33" s="14">
        <v>0</v>
      </c>
      <c r="AK33" s="14">
        <f t="shared" si="2"/>
        <v>282.60000000000002</v>
      </c>
      <c r="AL33" s="14">
        <v>240</v>
      </c>
      <c r="AM33" s="14">
        <v>240</v>
      </c>
      <c r="AN33" s="14">
        <v>239.33</v>
      </c>
      <c r="AO33" s="14">
        <v>0</v>
      </c>
      <c r="AP33" s="14">
        <v>0</v>
      </c>
      <c r="AQ33" s="17">
        <v>0</v>
      </c>
      <c r="AR33" s="14">
        <v>0</v>
      </c>
      <c r="AS33" s="14">
        <v>24</v>
      </c>
      <c r="AT33" s="14">
        <v>0</v>
      </c>
      <c r="AU33" s="14">
        <v>34.92</v>
      </c>
      <c r="AV33" s="18">
        <v>4</v>
      </c>
    </row>
    <row r="34" spans="1:48" ht="13.05" customHeight="1" x14ac:dyDescent="0.3">
      <c r="A34" s="13" t="s">
        <v>72</v>
      </c>
      <c r="B34" s="14">
        <v>1173.67</v>
      </c>
      <c r="C34" s="14"/>
      <c r="D34" s="14"/>
      <c r="E34" s="14">
        <v>117.37</v>
      </c>
      <c r="F34" s="14">
        <v>407.04</v>
      </c>
      <c r="G34" s="14"/>
      <c r="H34" s="14"/>
      <c r="I34" s="14"/>
      <c r="J34" s="14"/>
      <c r="K34" s="14">
        <v>0.45</v>
      </c>
      <c r="L34" s="14"/>
      <c r="M34" s="14">
        <v>195.6</v>
      </c>
      <c r="N34" s="14"/>
      <c r="O34" s="14">
        <v>41.67</v>
      </c>
      <c r="P34" s="14">
        <v>35.270000000000003</v>
      </c>
      <c r="Q34" s="14"/>
      <c r="R34" s="14"/>
      <c r="S34" s="14"/>
      <c r="T34" s="15">
        <f>SUM(B34:S34)</f>
        <v>1971.07</v>
      </c>
      <c r="U34" s="14"/>
      <c r="V34" s="14"/>
      <c r="W34" s="14">
        <v>77.39</v>
      </c>
      <c r="X34" s="14">
        <v>4.41</v>
      </c>
      <c r="Y34" s="14">
        <v>95.6</v>
      </c>
      <c r="Z34" s="14">
        <v>1.97</v>
      </c>
      <c r="AA34" s="14">
        <v>30.55</v>
      </c>
      <c r="AB34" s="14">
        <v>236.71</v>
      </c>
      <c r="AC34" s="16">
        <f t="shared" si="0"/>
        <v>446.63</v>
      </c>
      <c r="AD34" s="14">
        <f t="shared" si="1"/>
        <v>1524.44</v>
      </c>
      <c r="AE34" s="14">
        <v>0</v>
      </c>
      <c r="AF34" s="14">
        <v>633.70000000000005</v>
      </c>
      <c r="AG34" s="14">
        <v>128.12</v>
      </c>
      <c r="AH34" s="14">
        <v>761.82</v>
      </c>
      <c r="AI34" s="14">
        <v>0</v>
      </c>
      <c r="AJ34" s="14">
        <v>0</v>
      </c>
      <c r="AK34" s="14">
        <f t="shared" si="2"/>
        <v>2604.77</v>
      </c>
      <c r="AL34" s="14">
        <v>1971.07</v>
      </c>
      <c r="AM34" s="14">
        <v>1971.07</v>
      </c>
      <c r="AN34" s="14">
        <v>1893.68</v>
      </c>
      <c r="AO34" s="14">
        <v>35.270000000000003</v>
      </c>
      <c r="AP34" s="14">
        <v>0</v>
      </c>
      <c r="AQ34" s="17">
        <v>0</v>
      </c>
      <c r="AR34" s="14">
        <v>0</v>
      </c>
      <c r="AS34" s="14">
        <v>160</v>
      </c>
      <c r="AT34" s="14">
        <v>0</v>
      </c>
      <c r="AU34" s="14">
        <v>0</v>
      </c>
      <c r="AV34" s="18">
        <v>30</v>
      </c>
    </row>
    <row r="35" spans="1:48" ht="13.05" customHeight="1" x14ac:dyDescent="0.3">
      <c r="A35" s="13" t="s">
        <v>73</v>
      </c>
      <c r="B35" s="14">
        <v>1173.67</v>
      </c>
      <c r="C35" s="14"/>
      <c r="D35" s="14"/>
      <c r="E35" s="14">
        <v>117.37</v>
      </c>
      <c r="F35" s="14">
        <v>151.44999999999999</v>
      </c>
      <c r="G35" s="14"/>
      <c r="H35" s="14"/>
      <c r="I35" s="14"/>
      <c r="J35" s="14">
        <v>550</v>
      </c>
      <c r="K35" s="14">
        <v>0.45</v>
      </c>
      <c r="L35" s="14">
        <v>100</v>
      </c>
      <c r="M35" s="14">
        <v>195.6</v>
      </c>
      <c r="N35" s="14"/>
      <c r="O35" s="14">
        <v>41.67</v>
      </c>
      <c r="P35" s="14">
        <v>13.75</v>
      </c>
      <c r="Q35" s="14"/>
      <c r="R35" s="14"/>
      <c r="S35" s="14"/>
      <c r="T35" s="15">
        <f>SUM(B35:S35)</f>
        <v>2343.96</v>
      </c>
      <c r="U35" s="14"/>
      <c r="V35" s="14"/>
      <c r="W35" s="14">
        <v>605.87</v>
      </c>
      <c r="X35" s="14">
        <v>91.61</v>
      </c>
      <c r="Y35" s="14">
        <v>113.69</v>
      </c>
      <c r="Z35" s="14">
        <v>2.34</v>
      </c>
      <c r="AA35" s="14">
        <v>36.33</v>
      </c>
      <c r="AB35" s="14">
        <v>282.44</v>
      </c>
      <c r="AC35" s="16">
        <f t="shared" si="0"/>
        <v>1132.2800000000002</v>
      </c>
      <c r="AD35" s="14">
        <f t="shared" si="1"/>
        <v>1211.6799999999998</v>
      </c>
      <c r="AE35" s="14">
        <v>0</v>
      </c>
      <c r="AF35" s="14">
        <v>753.59</v>
      </c>
      <c r="AG35" s="14">
        <v>152.36000000000001</v>
      </c>
      <c r="AH35" s="14">
        <v>905.95</v>
      </c>
      <c r="AI35" s="14">
        <v>0</v>
      </c>
      <c r="AJ35" s="14">
        <v>0</v>
      </c>
      <c r="AK35" s="14">
        <f t="shared" si="2"/>
        <v>3097.55</v>
      </c>
      <c r="AL35" s="14">
        <v>2343.96</v>
      </c>
      <c r="AM35" s="14">
        <v>2343.96</v>
      </c>
      <c r="AN35" s="14">
        <v>1738.09</v>
      </c>
      <c r="AO35" s="14">
        <v>563.75</v>
      </c>
      <c r="AP35" s="14">
        <v>0</v>
      </c>
      <c r="AQ35" s="17">
        <v>0</v>
      </c>
      <c r="AR35" s="14">
        <v>0</v>
      </c>
      <c r="AS35" s="14">
        <v>160</v>
      </c>
      <c r="AT35" s="14">
        <v>0</v>
      </c>
      <c r="AU35" s="14">
        <v>0</v>
      </c>
      <c r="AV35" s="18">
        <v>30</v>
      </c>
    </row>
    <row r="36" spans="1:48" ht="13.05" customHeight="1" x14ac:dyDescent="0.3">
      <c r="A36" s="13" t="s">
        <v>74</v>
      </c>
      <c r="B36" s="14">
        <v>1078.3599999999999</v>
      </c>
      <c r="C36" s="14"/>
      <c r="D36" s="14"/>
      <c r="E36" s="14">
        <v>107.84</v>
      </c>
      <c r="F36" s="14">
        <v>485.63</v>
      </c>
      <c r="G36" s="14"/>
      <c r="H36" s="14"/>
      <c r="I36" s="14"/>
      <c r="J36" s="14"/>
      <c r="K36" s="14">
        <v>0.45</v>
      </c>
      <c r="L36" s="14">
        <v>100</v>
      </c>
      <c r="M36" s="14">
        <v>179.72</v>
      </c>
      <c r="N36" s="14"/>
      <c r="O36" s="14"/>
      <c r="P36" s="14"/>
      <c r="Q36" s="14"/>
      <c r="R36" s="14"/>
      <c r="S36" s="14"/>
      <c r="T36" s="15">
        <f>SUM(B36:S36)</f>
        <v>1952</v>
      </c>
      <c r="U36" s="14"/>
      <c r="V36" s="14"/>
      <c r="W36" s="14">
        <v>0.45</v>
      </c>
      <c r="X36" s="14"/>
      <c r="Y36" s="14">
        <v>94.67</v>
      </c>
      <c r="Z36" s="14">
        <v>1.95</v>
      </c>
      <c r="AA36" s="14">
        <v>30.26</v>
      </c>
      <c r="AB36" s="14">
        <v>258.58</v>
      </c>
      <c r="AC36" s="16">
        <f t="shared" si="0"/>
        <v>385.90999999999997</v>
      </c>
      <c r="AD36" s="14">
        <f t="shared" si="1"/>
        <v>1566.0900000000001</v>
      </c>
      <c r="AE36" s="14">
        <v>0</v>
      </c>
      <c r="AF36" s="14">
        <v>627.57000000000005</v>
      </c>
      <c r="AG36" s="14">
        <v>126.88</v>
      </c>
      <c r="AH36" s="14">
        <v>754.45</v>
      </c>
      <c r="AI36" s="14">
        <v>0</v>
      </c>
      <c r="AJ36" s="14">
        <v>0</v>
      </c>
      <c r="AK36" s="14">
        <f t="shared" si="2"/>
        <v>2579.5700000000002</v>
      </c>
      <c r="AL36" s="14">
        <v>1952</v>
      </c>
      <c r="AM36" s="14">
        <v>1952</v>
      </c>
      <c r="AN36" s="14">
        <v>1951.55</v>
      </c>
      <c r="AO36" s="14">
        <v>0</v>
      </c>
      <c r="AP36" s="14">
        <v>0</v>
      </c>
      <c r="AQ36" s="17">
        <v>0</v>
      </c>
      <c r="AR36" s="14">
        <v>0</v>
      </c>
      <c r="AS36" s="14">
        <v>160</v>
      </c>
      <c r="AT36" s="14">
        <v>0</v>
      </c>
      <c r="AU36" s="14">
        <v>0</v>
      </c>
      <c r="AV36" s="18">
        <v>30</v>
      </c>
    </row>
    <row r="37" spans="1:48" ht="13.05" customHeight="1" x14ac:dyDescent="0.3">
      <c r="A37" s="13" t="s">
        <v>75</v>
      </c>
      <c r="B37" s="14">
        <v>1147.96</v>
      </c>
      <c r="C37" s="14"/>
      <c r="D37" s="14"/>
      <c r="E37" s="14"/>
      <c r="F37" s="14">
        <v>467.3</v>
      </c>
      <c r="G37" s="14"/>
      <c r="H37" s="14"/>
      <c r="I37" s="14">
        <v>13.1</v>
      </c>
      <c r="J37" s="14"/>
      <c r="K37" s="14">
        <v>0.45</v>
      </c>
      <c r="L37" s="14"/>
      <c r="M37" s="14">
        <v>286.98</v>
      </c>
      <c r="N37" s="14"/>
      <c r="O37" s="14">
        <v>41.67</v>
      </c>
      <c r="P37" s="14">
        <v>35.270000000000003</v>
      </c>
      <c r="Q37" s="14">
        <v>158.16999999999999</v>
      </c>
      <c r="R37" s="14"/>
      <c r="S37" s="14"/>
      <c r="T37" s="15">
        <f>SUM(B37:S37)</f>
        <v>2150.9</v>
      </c>
      <c r="U37" s="14"/>
      <c r="V37" s="14"/>
      <c r="W37" s="14">
        <v>77.39</v>
      </c>
      <c r="X37" s="14">
        <v>5.47</v>
      </c>
      <c r="Y37" s="14">
        <v>104.32</v>
      </c>
      <c r="Z37" s="14">
        <v>2.15</v>
      </c>
      <c r="AA37" s="14">
        <v>33.340000000000003</v>
      </c>
      <c r="AB37" s="14">
        <v>321.39</v>
      </c>
      <c r="AC37" s="16">
        <f t="shared" si="0"/>
        <v>544.05999999999995</v>
      </c>
      <c r="AD37" s="14">
        <f t="shared" si="1"/>
        <v>1606.8400000000001</v>
      </c>
      <c r="AE37" s="14">
        <v>0</v>
      </c>
      <c r="AF37" s="14">
        <v>694.74</v>
      </c>
      <c r="AG37" s="14">
        <v>139.81</v>
      </c>
      <c r="AH37" s="14">
        <v>834.55</v>
      </c>
      <c r="AI37" s="14">
        <v>0</v>
      </c>
      <c r="AJ37" s="14">
        <v>0</v>
      </c>
      <c r="AK37" s="14">
        <f t="shared" si="2"/>
        <v>2845.6400000000003</v>
      </c>
      <c r="AL37" s="14">
        <v>2150.9</v>
      </c>
      <c r="AM37" s="14">
        <v>2150.9</v>
      </c>
      <c r="AN37" s="14">
        <v>2073.5100000000002</v>
      </c>
      <c r="AO37" s="14">
        <v>35.270000000000003</v>
      </c>
      <c r="AP37" s="14">
        <v>0</v>
      </c>
      <c r="AQ37" s="17">
        <v>0</v>
      </c>
      <c r="AR37" s="14">
        <v>0</v>
      </c>
      <c r="AS37" s="14">
        <v>160</v>
      </c>
      <c r="AT37" s="14">
        <v>0</v>
      </c>
      <c r="AU37" s="14">
        <v>0</v>
      </c>
      <c r="AV37" s="18">
        <v>30</v>
      </c>
    </row>
    <row r="38" spans="1:48" ht="13.05" customHeight="1" x14ac:dyDescent="0.3">
      <c r="A38" s="13" t="s">
        <v>76</v>
      </c>
      <c r="B38" s="14">
        <v>1093.8699999999999</v>
      </c>
      <c r="C38" s="14"/>
      <c r="D38" s="14"/>
      <c r="E38" s="14">
        <v>109.39</v>
      </c>
      <c r="F38" s="14">
        <v>869.32</v>
      </c>
      <c r="G38" s="14"/>
      <c r="H38" s="14"/>
      <c r="I38" s="14"/>
      <c r="J38" s="14"/>
      <c r="K38" s="14">
        <v>0.45</v>
      </c>
      <c r="L38" s="14">
        <v>100</v>
      </c>
      <c r="M38" s="14">
        <v>182.3</v>
      </c>
      <c r="N38" s="14"/>
      <c r="O38" s="14">
        <v>41.67</v>
      </c>
      <c r="P38" s="14">
        <v>13.75</v>
      </c>
      <c r="Q38" s="14"/>
      <c r="R38" s="14"/>
      <c r="S38" s="14"/>
      <c r="T38" s="15">
        <f>SUM(B38:S38)</f>
        <v>2410.75</v>
      </c>
      <c r="U38" s="14"/>
      <c r="V38" s="14"/>
      <c r="W38" s="14">
        <v>55.87</v>
      </c>
      <c r="X38" s="14">
        <v>2.2000000000000002</v>
      </c>
      <c r="Y38" s="14">
        <v>116.93</v>
      </c>
      <c r="Z38" s="14">
        <v>2.41</v>
      </c>
      <c r="AA38" s="14">
        <v>37.369999999999997</v>
      </c>
      <c r="AB38" s="14">
        <v>376.78</v>
      </c>
      <c r="AC38" s="16">
        <f t="shared" si="0"/>
        <v>591.55999999999995</v>
      </c>
      <c r="AD38" s="14">
        <f t="shared" si="1"/>
        <v>1819.19</v>
      </c>
      <c r="AE38" s="14">
        <v>0</v>
      </c>
      <c r="AF38" s="14">
        <v>775.06</v>
      </c>
      <c r="AG38" s="14">
        <v>156.71</v>
      </c>
      <c r="AH38" s="14">
        <v>931.77</v>
      </c>
      <c r="AI38" s="14">
        <v>0</v>
      </c>
      <c r="AJ38" s="14">
        <v>0</v>
      </c>
      <c r="AK38" s="14">
        <f t="shared" si="2"/>
        <v>3185.81</v>
      </c>
      <c r="AL38" s="14">
        <v>2410.75</v>
      </c>
      <c r="AM38" s="14">
        <v>2410.75</v>
      </c>
      <c r="AN38" s="14">
        <v>2354.88</v>
      </c>
      <c r="AO38" s="14">
        <v>13.75</v>
      </c>
      <c r="AP38" s="14">
        <v>0</v>
      </c>
      <c r="AQ38" s="17">
        <v>0</v>
      </c>
      <c r="AR38" s="14">
        <v>0</v>
      </c>
      <c r="AS38" s="14">
        <v>160</v>
      </c>
      <c r="AT38" s="14">
        <v>0</v>
      </c>
      <c r="AU38" s="14">
        <v>0</v>
      </c>
      <c r="AV38" s="18">
        <v>30</v>
      </c>
    </row>
    <row r="39" spans="1:48" ht="13.05" customHeight="1" x14ac:dyDescent="0.3">
      <c r="A39" s="13" t="s">
        <v>77</v>
      </c>
      <c r="B39" s="14">
        <v>1078.3599999999999</v>
      </c>
      <c r="C39" s="14"/>
      <c r="D39" s="14"/>
      <c r="E39" s="14">
        <v>107.84</v>
      </c>
      <c r="F39" s="14">
        <v>250.3</v>
      </c>
      <c r="G39" s="14"/>
      <c r="H39" s="14"/>
      <c r="I39" s="14"/>
      <c r="J39" s="14"/>
      <c r="K39" s="14">
        <v>0.45</v>
      </c>
      <c r="L39" s="14">
        <v>100</v>
      </c>
      <c r="M39" s="14">
        <v>179.72</v>
      </c>
      <c r="N39" s="14"/>
      <c r="O39" s="14">
        <v>41.67</v>
      </c>
      <c r="P39" s="14">
        <v>13.75</v>
      </c>
      <c r="Q39" s="14"/>
      <c r="R39" s="14"/>
      <c r="S39" s="14"/>
      <c r="T39" s="15">
        <f>SUM(B39:S39)</f>
        <v>1772.09</v>
      </c>
      <c r="U39" s="14"/>
      <c r="V39" s="14"/>
      <c r="W39" s="14">
        <v>55.87</v>
      </c>
      <c r="X39" s="14">
        <v>1.51</v>
      </c>
      <c r="Y39" s="14">
        <v>85.95</v>
      </c>
      <c r="Z39" s="14">
        <v>1.77</v>
      </c>
      <c r="AA39" s="14">
        <v>27.47</v>
      </c>
      <c r="AB39" s="14">
        <v>188.78</v>
      </c>
      <c r="AC39" s="16">
        <f t="shared" si="0"/>
        <v>361.35</v>
      </c>
      <c r="AD39" s="14">
        <f t="shared" si="1"/>
        <v>1410.7399999999998</v>
      </c>
      <c r="AE39" s="14">
        <v>0</v>
      </c>
      <c r="AF39" s="14">
        <v>569.71</v>
      </c>
      <c r="AG39" s="14">
        <v>115.19</v>
      </c>
      <c r="AH39" s="14">
        <v>684.9</v>
      </c>
      <c r="AI39" s="14">
        <v>0</v>
      </c>
      <c r="AJ39" s="14">
        <v>0</v>
      </c>
      <c r="AK39" s="14">
        <f t="shared" si="2"/>
        <v>2341.8000000000002</v>
      </c>
      <c r="AL39" s="14">
        <v>1772.09</v>
      </c>
      <c r="AM39" s="14">
        <v>1772.09</v>
      </c>
      <c r="AN39" s="14">
        <v>1716.22</v>
      </c>
      <c r="AO39" s="14">
        <v>13.75</v>
      </c>
      <c r="AP39" s="14">
        <v>0</v>
      </c>
      <c r="AQ39" s="17">
        <v>0</v>
      </c>
      <c r="AR39" s="14">
        <v>0</v>
      </c>
      <c r="AS39" s="14">
        <v>160</v>
      </c>
      <c r="AT39" s="14">
        <v>0</v>
      </c>
      <c r="AU39" s="14">
        <v>0</v>
      </c>
      <c r="AV39" s="18">
        <v>30</v>
      </c>
    </row>
    <row r="40" spans="1:48" ht="13.05" customHeight="1" x14ac:dyDescent="0.3">
      <c r="A40" s="13" t="s">
        <v>78</v>
      </c>
      <c r="B40" s="14">
        <v>1205.6199999999999</v>
      </c>
      <c r="C40" s="14"/>
      <c r="D40" s="14"/>
      <c r="E40" s="14">
        <v>100.46</v>
      </c>
      <c r="F40" s="14">
        <v>49.49</v>
      </c>
      <c r="G40" s="14"/>
      <c r="H40" s="14"/>
      <c r="I40" s="14">
        <v>63.46</v>
      </c>
      <c r="J40" s="14"/>
      <c r="K40" s="14">
        <v>0.45</v>
      </c>
      <c r="L40" s="14"/>
      <c r="M40" s="14">
        <v>200.92</v>
      </c>
      <c r="N40" s="14"/>
      <c r="O40" s="14"/>
      <c r="P40" s="14"/>
      <c r="Q40" s="14">
        <v>89.46</v>
      </c>
      <c r="R40" s="14"/>
      <c r="S40" s="14"/>
      <c r="T40" s="15">
        <f>SUM(B40:S40)</f>
        <v>1709.8600000000001</v>
      </c>
      <c r="U40" s="14"/>
      <c r="V40" s="14"/>
      <c r="W40" s="14">
        <v>0.45</v>
      </c>
      <c r="X40" s="14"/>
      <c r="Y40" s="14">
        <v>82.92</v>
      </c>
      <c r="Z40" s="14">
        <v>1.71</v>
      </c>
      <c r="AA40" s="14">
        <v>26.5</v>
      </c>
      <c r="AB40" s="14">
        <v>166.67</v>
      </c>
      <c r="AC40" s="16">
        <f t="shared" si="0"/>
        <v>278.25</v>
      </c>
      <c r="AD40" s="14">
        <f t="shared" si="1"/>
        <v>1431.6100000000001</v>
      </c>
      <c r="AE40" s="14">
        <v>0</v>
      </c>
      <c r="AF40" s="14">
        <v>552.29999999999995</v>
      </c>
      <c r="AG40" s="14">
        <v>111.13</v>
      </c>
      <c r="AH40" s="14">
        <v>663.43</v>
      </c>
      <c r="AI40" s="14">
        <v>0</v>
      </c>
      <c r="AJ40" s="14">
        <v>0</v>
      </c>
      <c r="AK40" s="14">
        <f t="shared" si="2"/>
        <v>2262.16</v>
      </c>
      <c r="AL40" s="14">
        <v>1709.86</v>
      </c>
      <c r="AM40" s="14">
        <v>1709.86</v>
      </c>
      <c r="AN40" s="14">
        <v>1709.41</v>
      </c>
      <c r="AO40" s="14">
        <v>0</v>
      </c>
      <c r="AP40" s="14">
        <v>0</v>
      </c>
      <c r="AQ40" s="17">
        <v>0</v>
      </c>
      <c r="AR40" s="14">
        <v>0</v>
      </c>
      <c r="AS40" s="14">
        <v>160</v>
      </c>
      <c r="AT40" s="14">
        <v>0</v>
      </c>
      <c r="AU40" s="14">
        <v>0</v>
      </c>
      <c r="AV40" s="18">
        <v>30</v>
      </c>
    </row>
    <row r="41" spans="1:48" ht="13.05" customHeight="1" x14ac:dyDescent="0.3">
      <c r="A41" s="13" t="s">
        <v>79</v>
      </c>
      <c r="B41" s="14">
        <v>1078.3599999999999</v>
      </c>
      <c r="C41" s="14"/>
      <c r="D41" s="14">
        <v>350</v>
      </c>
      <c r="E41" s="14">
        <v>107.84</v>
      </c>
      <c r="F41" s="14">
        <v>334.38</v>
      </c>
      <c r="G41" s="14"/>
      <c r="H41" s="14"/>
      <c r="I41" s="14"/>
      <c r="J41" s="14"/>
      <c r="K41" s="14">
        <v>0.45</v>
      </c>
      <c r="L41" s="14">
        <v>100</v>
      </c>
      <c r="M41" s="14">
        <v>179.72</v>
      </c>
      <c r="N41" s="14"/>
      <c r="O41" s="14"/>
      <c r="P41" s="14"/>
      <c r="Q41" s="14"/>
      <c r="R41" s="14"/>
      <c r="S41" s="14"/>
      <c r="T41" s="15">
        <f>SUM(B41:S41)</f>
        <v>2150.75</v>
      </c>
      <c r="U41" s="14"/>
      <c r="V41" s="14"/>
      <c r="W41" s="14">
        <v>0.45</v>
      </c>
      <c r="X41" s="14"/>
      <c r="Y41" s="14">
        <v>104.32</v>
      </c>
      <c r="Z41" s="14">
        <v>2.15</v>
      </c>
      <c r="AA41" s="14">
        <v>33.340000000000003</v>
      </c>
      <c r="AB41" s="14">
        <v>273.08999999999997</v>
      </c>
      <c r="AC41" s="16">
        <f t="shared" si="0"/>
        <v>413.34999999999997</v>
      </c>
      <c r="AD41" s="14">
        <f t="shared" si="1"/>
        <v>1737.4</v>
      </c>
      <c r="AE41" s="14">
        <v>0</v>
      </c>
      <c r="AF41" s="14">
        <v>691.47</v>
      </c>
      <c r="AG41" s="14">
        <v>139.81</v>
      </c>
      <c r="AH41" s="14">
        <v>831.28</v>
      </c>
      <c r="AI41" s="14">
        <v>0</v>
      </c>
      <c r="AJ41" s="14">
        <v>0</v>
      </c>
      <c r="AK41" s="14">
        <f t="shared" si="2"/>
        <v>2842.2200000000003</v>
      </c>
      <c r="AL41" s="14">
        <v>2150.75</v>
      </c>
      <c r="AM41" s="14">
        <v>2150.75</v>
      </c>
      <c r="AN41" s="14">
        <v>2150.3000000000002</v>
      </c>
      <c r="AO41" s="14">
        <v>0</v>
      </c>
      <c r="AP41" s="14">
        <v>0</v>
      </c>
      <c r="AQ41" s="17">
        <v>0</v>
      </c>
      <c r="AR41" s="14">
        <v>0</v>
      </c>
      <c r="AS41" s="14">
        <v>160</v>
      </c>
      <c r="AT41" s="14">
        <v>0</v>
      </c>
      <c r="AU41" s="14">
        <v>0</v>
      </c>
      <c r="AV41" s="18">
        <v>30</v>
      </c>
    </row>
    <row r="42" spans="1:48" ht="13.05" customHeight="1" x14ac:dyDescent="0.3">
      <c r="A42" s="13" t="s">
        <v>80</v>
      </c>
      <c r="B42" s="14">
        <v>1110.3599999999999</v>
      </c>
      <c r="C42" s="14"/>
      <c r="D42" s="14"/>
      <c r="E42" s="14">
        <v>92.53</v>
      </c>
      <c r="F42" s="14">
        <v>313.51</v>
      </c>
      <c r="G42" s="14"/>
      <c r="H42" s="14"/>
      <c r="I42" s="14"/>
      <c r="J42" s="14"/>
      <c r="K42" s="14">
        <v>0.45</v>
      </c>
      <c r="L42" s="14"/>
      <c r="M42" s="14">
        <v>185.06</v>
      </c>
      <c r="N42" s="14"/>
      <c r="O42" s="14">
        <v>41.67</v>
      </c>
      <c r="P42" s="14">
        <v>13.75</v>
      </c>
      <c r="Q42" s="14"/>
      <c r="R42" s="14"/>
      <c r="S42" s="14"/>
      <c r="T42" s="15">
        <f>SUM(B42:S42)</f>
        <v>1757.33</v>
      </c>
      <c r="U42" s="14"/>
      <c r="V42" s="14"/>
      <c r="W42" s="14">
        <v>55.87</v>
      </c>
      <c r="X42" s="14">
        <v>1.22</v>
      </c>
      <c r="Y42" s="14">
        <v>85.23</v>
      </c>
      <c r="Z42" s="14">
        <v>1.76</v>
      </c>
      <c r="AA42" s="14">
        <v>27.24</v>
      </c>
      <c r="AB42" s="14">
        <v>150.58000000000001</v>
      </c>
      <c r="AC42" s="16">
        <f t="shared" si="0"/>
        <v>321.89999999999998</v>
      </c>
      <c r="AD42" s="14">
        <f t="shared" si="1"/>
        <v>1435.4299999999998</v>
      </c>
      <c r="AE42" s="14">
        <v>0</v>
      </c>
      <c r="AF42" s="14">
        <v>584.29999999999995</v>
      </c>
      <c r="AG42" s="14">
        <v>114.23</v>
      </c>
      <c r="AH42" s="14">
        <v>698.53</v>
      </c>
      <c r="AI42" s="14">
        <v>0</v>
      </c>
      <c r="AJ42" s="14">
        <v>0</v>
      </c>
      <c r="AK42" s="14">
        <f t="shared" si="2"/>
        <v>2341.63</v>
      </c>
      <c r="AL42" s="14">
        <v>1757.33</v>
      </c>
      <c r="AM42" s="14">
        <v>1757.33</v>
      </c>
      <c r="AN42" s="14">
        <v>1701.46</v>
      </c>
      <c r="AO42" s="14">
        <v>13.75</v>
      </c>
      <c r="AP42" s="14">
        <v>0</v>
      </c>
      <c r="AQ42" s="17">
        <v>0</v>
      </c>
      <c r="AR42" s="14">
        <v>0</v>
      </c>
      <c r="AS42" s="14">
        <v>146</v>
      </c>
      <c r="AT42" s="14">
        <v>0</v>
      </c>
      <c r="AU42" s="14">
        <v>0</v>
      </c>
      <c r="AV42" s="18">
        <v>30</v>
      </c>
    </row>
    <row r="43" spans="1:48" ht="13.05" customHeight="1" x14ac:dyDescent="0.3">
      <c r="A43" s="13" t="s">
        <v>81</v>
      </c>
      <c r="B43" s="14">
        <v>85.05</v>
      </c>
      <c r="C43" s="14"/>
      <c r="D43" s="14">
        <v>69.430000000000007</v>
      </c>
      <c r="E43" s="14">
        <v>7.09</v>
      </c>
      <c r="F43" s="14"/>
      <c r="G43" s="14"/>
      <c r="H43" s="14"/>
      <c r="I43" s="14"/>
      <c r="J43" s="14"/>
      <c r="K43" s="14">
        <v>0.45</v>
      </c>
      <c r="L43" s="14"/>
      <c r="M43" s="14">
        <v>14.18</v>
      </c>
      <c r="N43" s="14"/>
      <c r="O43" s="14"/>
      <c r="P43" s="14"/>
      <c r="Q43" s="14"/>
      <c r="R43" s="14"/>
      <c r="S43" s="14"/>
      <c r="T43" s="15">
        <f>SUM(B43:S43)</f>
        <v>176.20000000000002</v>
      </c>
      <c r="U43" s="14"/>
      <c r="V43" s="14"/>
      <c r="W43" s="14">
        <v>0.45</v>
      </c>
      <c r="X43" s="14"/>
      <c r="Y43" s="14">
        <v>8.5399999999999991</v>
      </c>
      <c r="Z43" s="14">
        <v>0.18</v>
      </c>
      <c r="AA43" s="14">
        <v>2.73</v>
      </c>
      <c r="AB43" s="14"/>
      <c r="AC43" s="16">
        <f t="shared" si="0"/>
        <v>11.899999999999999</v>
      </c>
      <c r="AD43" s="14">
        <f t="shared" si="1"/>
        <v>164.3</v>
      </c>
      <c r="AE43" s="14">
        <v>0</v>
      </c>
      <c r="AF43" s="14">
        <v>58.58</v>
      </c>
      <c r="AG43" s="14">
        <v>11.45</v>
      </c>
      <c r="AH43" s="14">
        <v>70.03</v>
      </c>
      <c r="AI43" s="14">
        <v>0</v>
      </c>
      <c r="AJ43" s="14">
        <v>0</v>
      </c>
      <c r="AK43" s="14">
        <f t="shared" si="2"/>
        <v>234.78000000000003</v>
      </c>
      <c r="AL43" s="14">
        <v>176.2</v>
      </c>
      <c r="AM43" s="14">
        <v>176.2</v>
      </c>
      <c r="AN43" s="14">
        <v>175.75</v>
      </c>
      <c r="AO43" s="14">
        <v>0</v>
      </c>
      <c r="AP43" s="14">
        <v>0</v>
      </c>
      <c r="AQ43" s="17">
        <v>0</v>
      </c>
      <c r="AR43" s="14">
        <v>0</v>
      </c>
      <c r="AS43" s="14">
        <v>12</v>
      </c>
      <c r="AT43" s="14">
        <v>0</v>
      </c>
      <c r="AU43" s="14">
        <v>0</v>
      </c>
      <c r="AV43" s="18">
        <v>30</v>
      </c>
    </row>
    <row r="44" spans="1:48" ht="13.05" customHeight="1" x14ac:dyDescent="0.3">
      <c r="A44" s="13" t="s">
        <v>82</v>
      </c>
      <c r="B44" s="14">
        <v>82.02</v>
      </c>
      <c r="C44" s="14"/>
      <c r="D44" s="14">
        <v>66.53</v>
      </c>
      <c r="E44" s="14">
        <v>6.83</v>
      </c>
      <c r="F44" s="14"/>
      <c r="G44" s="14"/>
      <c r="H44" s="14"/>
      <c r="I44" s="14"/>
      <c r="J44" s="14"/>
      <c r="K44" s="14">
        <v>0.45</v>
      </c>
      <c r="L44" s="14"/>
      <c r="M44" s="14">
        <v>13.66</v>
      </c>
      <c r="N44" s="14"/>
      <c r="O44" s="14"/>
      <c r="P44" s="14"/>
      <c r="Q44" s="14">
        <v>6.71</v>
      </c>
      <c r="R44" s="14"/>
      <c r="S44" s="14"/>
      <c r="T44" s="15">
        <f>SUM(B44:S44)</f>
        <v>176.20000000000002</v>
      </c>
      <c r="U44" s="14"/>
      <c r="V44" s="14"/>
      <c r="W44" s="14">
        <v>0.45</v>
      </c>
      <c r="X44" s="14"/>
      <c r="Y44" s="14">
        <v>8.5399999999999991</v>
      </c>
      <c r="Z44" s="14">
        <v>0.18</v>
      </c>
      <c r="AA44" s="14">
        <v>2.73</v>
      </c>
      <c r="AB44" s="14"/>
      <c r="AC44" s="16">
        <f t="shared" si="0"/>
        <v>11.899999999999999</v>
      </c>
      <c r="AD44" s="14">
        <f t="shared" si="1"/>
        <v>164.3</v>
      </c>
      <c r="AE44" s="14">
        <v>0</v>
      </c>
      <c r="AF44" s="14">
        <v>56.9</v>
      </c>
      <c r="AG44" s="14">
        <v>11.45</v>
      </c>
      <c r="AH44" s="14">
        <v>68.349999999999994</v>
      </c>
      <c r="AI44" s="14">
        <v>0</v>
      </c>
      <c r="AJ44" s="14">
        <v>0</v>
      </c>
      <c r="AK44" s="14">
        <f t="shared" si="2"/>
        <v>233.10000000000002</v>
      </c>
      <c r="AL44" s="14">
        <v>176.2</v>
      </c>
      <c r="AM44" s="14">
        <v>176.2</v>
      </c>
      <c r="AN44" s="14">
        <v>175.75</v>
      </c>
      <c r="AO44" s="14">
        <v>0</v>
      </c>
      <c r="AP44" s="14">
        <v>0</v>
      </c>
      <c r="AQ44" s="17">
        <v>0</v>
      </c>
      <c r="AR44" s="14">
        <v>0</v>
      </c>
      <c r="AS44" s="14">
        <v>12</v>
      </c>
      <c r="AT44" s="14">
        <v>0</v>
      </c>
      <c r="AU44" s="14">
        <v>0</v>
      </c>
      <c r="AV44" s="18">
        <v>30</v>
      </c>
    </row>
    <row r="45" spans="1:48" ht="13.05" customHeight="1" x14ac:dyDescent="0.3">
      <c r="A45" s="13" t="s">
        <v>83</v>
      </c>
      <c r="B45" s="14">
        <v>808.77</v>
      </c>
      <c r="C45" s="14"/>
      <c r="D45" s="14"/>
      <c r="E45" s="14">
        <v>80.87</v>
      </c>
      <c r="F45" s="14">
        <v>436.6</v>
      </c>
      <c r="G45" s="14"/>
      <c r="H45" s="14"/>
      <c r="I45" s="14"/>
      <c r="J45" s="14"/>
      <c r="K45" s="14">
        <v>0.45</v>
      </c>
      <c r="L45" s="14"/>
      <c r="M45" s="14">
        <v>134.78</v>
      </c>
      <c r="N45" s="14"/>
      <c r="O45" s="14">
        <v>41.67</v>
      </c>
      <c r="P45" s="14">
        <v>35.270000000000003</v>
      </c>
      <c r="Q45" s="14"/>
      <c r="R45" s="14"/>
      <c r="S45" s="14"/>
      <c r="T45" s="15">
        <f>SUM(B45:S45)</f>
        <v>1538.41</v>
      </c>
      <c r="U45" s="14"/>
      <c r="V45" s="14"/>
      <c r="W45" s="14">
        <v>77.39</v>
      </c>
      <c r="X45" s="14">
        <v>1.76</v>
      </c>
      <c r="Y45" s="14">
        <v>74.62</v>
      </c>
      <c r="Z45" s="14">
        <v>1.54</v>
      </c>
      <c r="AA45" s="14">
        <v>23.85</v>
      </c>
      <c r="AB45" s="14">
        <v>73.05</v>
      </c>
      <c r="AC45" s="16">
        <f t="shared" si="0"/>
        <v>252.20999999999998</v>
      </c>
      <c r="AD45" s="14">
        <f t="shared" si="1"/>
        <v>1286.2</v>
      </c>
      <c r="AE45" s="14">
        <v>0</v>
      </c>
      <c r="AF45" s="14">
        <v>494.6</v>
      </c>
      <c r="AG45" s="14">
        <v>100.01</v>
      </c>
      <c r="AH45" s="14">
        <v>594.61</v>
      </c>
      <c r="AI45" s="14">
        <v>0</v>
      </c>
      <c r="AJ45" s="14">
        <v>0</v>
      </c>
      <c r="AK45" s="14">
        <f t="shared" si="2"/>
        <v>2033.0100000000002</v>
      </c>
      <c r="AL45" s="14">
        <v>1538.41</v>
      </c>
      <c r="AM45" s="14">
        <v>1538.41</v>
      </c>
      <c r="AN45" s="14">
        <v>1461.02</v>
      </c>
      <c r="AO45" s="14">
        <v>35.270000000000003</v>
      </c>
      <c r="AP45" s="14">
        <v>0</v>
      </c>
      <c r="AQ45" s="17">
        <v>0</v>
      </c>
      <c r="AR45" s="14">
        <v>0</v>
      </c>
      <c r="AS45" s="14">
        <v>120</v>
      </c>
      <c r="AT45" s="14">
        <v>0</v>
      </c>
      <c r="AU45" s="14">
        <v>0</v>
      </c>
      <c r="AV45" s="18">
        <v>30</v>
      </c>
    </row>
    <row r="46" spans="1:48" ht="13.05" customHeight="1" x14ac:dyDescent="0.3">
      <c r="A46" s="13" t="s">
        <v>84</v>
      </c>
      <c r="B46" s="14">
        <v>1199.46</v>
      </c>
      <c r="C46" s="14"/>
      <c r="D46" s="14"/>
      <c r="E46" s="14">
        <v>99.96</v>
      </c>
      <c r="F46" s="14">
        <v>43.46</v>
      </c>
      <c r="G46" s="14"/>
      <c r="H46" s="14"/>
      <c r="I46" s="14"/>
      <c r="J46" s="14"/>
      <c r="K46" s="14">
        <v>0.46</v>
      </c>
      <c r="L46" s="14"/>
      <c r="M46" s="14">
        <v>199.92</v>
      </c>
      <c r="N46" s="14"/>
      <c r="O46" s="14">
        <v>29.17</v>
      </c>
      <c r="P46" s="14">
        <v>24.69</v>
      </c>
      <c r="Q46" s="14"/>
      <c r="R46" s="14"/>
      <c r="S46" s="14"/>
      <c r="T46" s="15">
        <f>SUM(B46:S46)</f>
        <v>1597.1200000000003</v>
      </c>
      <c r="U46" s="14"/>
      <c r="V46" s="14"/>
      <c r="W46" s="14">
        <v>54.32</v>
      </c>
      <c r="X46" s="14">
        <v>1.98</v>
      </c>
      <c r="Y46" s="14">
        <v>77.45</v>
      </c>
      <c r="Z46" s="14">
        <v>1.59</v>
      </c>
      <c r="AA46" s="14">
        <v>24.76</v>
      </c>
      <c r="AB46" s="14">
        <v>123.43</v>
      </c>
      <c r="AC46" s="16">
        <f t="shared" si="0"/>
        <v>283.52999999999997</v>
      </c>
      <c r="AD46" s="14">
        <f t="shared" si="1"/>
        <v>1313.5900000000004</v>
      </c>
      <c r="AE46" s="14">
        <v>0</v>
      </c>
      <c r="AF46" s="14">
        <v>531.07000000000005</v>
      </c>
      <c r="AG46" s="14">
        <v>103.8</v>
      </c>
      <c r="AH46" s="14">
        <v>634.87</v>
      </c>
      <c r="AI46" s="14">
        <v>0</v>
      </c>
      <c r="AJ46" s="14">
        <v>0</v>
      </c>
      <c r="AK46" s="14">
        <f t="shared" si="2"/>
        <v>2128.1900000000005</v>
      </c>
      <c r="AL46" s="14">
        <v>1597.12</v>
      </c>
      <c r="AM46" s="14">
        <v>1597.12</v>
      </c>
      <c r="AN46" s="14">
        <v>1542.8</v>
      </c>
      <c r="AO46" s="14">
        <v>24.69</v>
      </c>
      <c r="AP46" s="14">
        <v>0</v>
      </c>
      <c r="AQ46" s="17">
        <v>0</v>
      </c>
      <c r="AR46" s="14">
        <v>0</v>
      </c>
      <c r="AS46" s="14">
        <v>48</v>
      </c>
      <c r="AT46" s="14">
        <v>0</v>
      </c>
      <c r="AU46" s="14">
        <v>0</v>
      </c>
      <c r="AV46" s="18">
        <v>30</v>
      </c>
    </row>
    <row r="47" spans="1:48" ht="13.05" customHeight="1" x14ac:dyDescent="0.3">
      <c r="A47" s="13" t="s">
        <v>85</v>
      </c>
      <c r="B47" s="14">
        <v>1576.23</v>
      </c>
      <c r="C47" s="14"/>
      <c r="D47" s="14"/>
      <c r="E47" s="14">
        <v>157.63</v>
      </c>
      <c r="F47" s="14">
        <v>292.64999999999998</v>
      </c>
      <c r="G47" s="14"/>
      <c r="H47" s="14"/>
      <c r="I47" s="14"/>
      <c r="J47" s="14">
        <v>450</v>
      </c>
      <c r="K47" s="14">
        <v>0.45</v>
      </c>
      <c r="L47" s="14">
        <v>110.34</v>
      </c>
      <c r="M47" s="14">
        <v>262.7</v>
      </c>
      <c r="N47" s="14"/>
      <c r="O47" s="14">
        <v>41.67</v>
      </c>
      <c r="P47" s="14">
        <v>13.75</v>
      </c>
      <c r="Q47" s="14"/>
      <c r="R47" s="14"/>
      <c r="S47" s="14"/>
      <c r="T47" s="15">
        <f>SUM(B47:S47)</f>
        <v>2905.42</v>
      </c>
      <c r="U47" s="14"/>
      <c r="V47" s="14">
        <v>14.6</v>
      </c>
      <c r="W47" s="14">
        <v>505.87</v>
      </c>
      <c r="X47" s="14">
        <v>84.31</v>
      </c>
      <c r="Y47" s="14">
        <v>140.91</v>
      </c>
      <c r="Z47" s="14">
        <v>2.91</v>
      </c>
      <c r="AA47" s="14">
        <v>45.03</v>
      </c>
      <c r="AB47" s="14">
        <v>436.24</v>
      </c>
      <c r="AC47" s="16">
        <f t="shared" si="0"/>
        <v>1229.8699999999999</v>
      </c>
      <c r="AD47" s="14">
        <f t="shared" si="1"/>
        <v>1675.5500000000002</v>
      </c>
      <c r="AE47" s="14">
        <v>0</v>
      </c>
      <c r="AF47" s="14">
        <v>934.09</v>
      </c>
      <c r="AG47" s="14">
        <v>188.85</v>
      </c>
      <c r="AH47" s="14">
        <v>1122.94</v>
      </c>
      <c r="AI47" s="14">
        <v>0</v>
      </c>
      <c r="AJ47" s="14">
        <v>0</v>
      </c>
      <c r="AK47" s="14">
        <f t="shared" si="2"/>
        <v>3839.51</v>
      </c>
      <c r="AL47" s="14">
        <v>2905.42</v>
      </c>
      <c r="AM47" s="14">
        <v>2905.42</v>
      </c>
      <c r="AN47" s="14">
        <v>2399.5500000000002</v>
      </c>
      <c r="AO47" s="14">
        <v>463.75</v>
      </c>
      <c r="AP47" s="14">
        <v>0</v>
      </c>
      <c r="AQ47" s="17">
        <v>0</v>
      </c>
      <c r="AR47" s="14">
        <v>0</v>
      </c>
      <c r="AS47" s="14">
        <v>160</v>
      </c>
      <c r="AT47" s="14">
        <v>0</v>
      </c>
      <c r="AU47" s="14">
        <v>0</v>
      </c>
      <c r="AV47" s="18">
        <v>30</v>
      </c>
    </row>
    <row r="48" spans="1:48" ht="13.05" customHeight="1" x14ac:dyDescent="0.3">
      <c r="A48" s="13" t="s">
        <v>86</v>
      </c>
      <c r="B48" s="14">
        <v>1283.21</v>
      </c>
      <c r="C48" s="14"/>
      <c r="D48" s="14"/>
      <c r="E48" s="14">
        <v>128.32</v>
      </c>
      <c r="F48" s="14">
        <v>74.91</v>
      </c>
      <c r="G48" s="14"/>
      <c r="H48" s="14"/>
      <c r="I48" s="14"/>
      <c r="J48" s="14"/>
      <c r="K48" s="14">
        <v>0.45</v>
      </c>
      <c r="L48" s="14">
        <v>100</v>
      </c>
      <c r="M48" s="14">
        <v>213.86</v>
      </c>
      <c r="N48" s="14"/>
      <c r="O48" s="14"/>
      <c r="P48" s="14"/>
      <c r="Q48" s="14"/>
      <c r="R48" s="14"/>
      <c r="S48" s="14"/>
      <c r="T48" s="15">
        <f>SUM(B48:S48)</f>
        <v>1800.75</v>
      </c>
      <c r="U48" s="14"/>
      <c r="V48" s="14"/>
      <c r="W48" s="14">
        <v>0.45</v>
      </c>
      <c r="X48" s="14"/>
      <c r="Y48" s="14">
        <v>87.34</v>
      </c>
      <c r="Z48" s="14">
        <v>1.8</v>
      </c>
      <c r="AA48" s="14">
        <v>27.91</v>
      </c>
      <c r="AB48" s="14">
        <v>209.73</v>
      </c>
      <c r="AC48" s="16">
        <f t="shared" si="0"/>
        <v>327.23</v>
      </c>
      <c r="AD48" s="14">
        <f t="shared" si="1"/>
        <v>1473.52</v>
      </c>
      <c r="AE48" s="14">
        <v>0</v>
      </c>
      <c r="AF48" s="14">
        <v>578.95000000000005</v>
      </c>
      <c r="AG48" s="14">
        <v>117.05</v>
      </c>
      <c r="AH48" s="14">
        <v>696</v>
      </c>
      <c r="AI48" s="14">
        <v>0</v>
      </c>
      <c r="AJ48" s="14">
        <v>0</v>
      </c>
      <c r="AK48" s="14">
        <f t="shared" si="2"/>
        <v>2379.6999999999998</v>
      </c>
      <c r="AL48" s="14">
        <v>1800.75</v>
      </c>
      <c r="AM48" s="14">
        <v>1800.75</v>
      </c>
      <c r="AN48" s="14">
        <v>1800.3</v>
      </c>
      <c r="AO48" s="14">
        <v>0</v>
      </c>
      <c r="AP48" s="14">
        <v>0</v>
      </c>
      <c r="AQ48" s="17">
        <v>0</v>
      </c>
      <c r="AR48" s="14">
        <v>0</v>
      </c>
      <c r="AS48" s="14">
        <v>160</v>
      </c>
      <c r="AT48" s="14">
        <v>0</v>
      </c>
      <c r="AU48" s="14">
        <v>0</v>
      </c>
      <c r="AV48" s="18">
        <v>30</v>
      </c>
    </row>
    <row r="49" spans="1:48" ht="13.05" customHeight="1" x14ac:dyDescent="0.3">
      <c r="A49" s="13" t="s">
        <v>87</v>
      </c>
      <c r="B49" s="14">
        <v>261.91000000000003</v>
      </c>
      <c r="C49" s="14"/>
      <c r="D49" s="14"/>
      <c r="E49" s="14">
        <v>22.04</v>
      </c>
      <c r="F49" s="14">
        <v>98.63</v>
      </c>
      <c r="G49" s="14"/>
      <c r="H49" s="14">
        <v>2.62</v>
      </c>
      <c r="I49" s="14"/>
      <c r="J49" s="14"/>
      <c r="K49" s="14">
        <v>0.09</v>
      </c>
      <c r="L49" s="14"/>
      <c r="M49" s="14">
        <v>44.08</v>
      </c>
      <c r="N49" s="14"/>
      <c r="O49" s="14"/>
      <c r="P49" s="14"/>
      <c r="Q49" s="14">
        <v>23.83</v>
      </c>
      <c r="R49" s="14"/>
      <c r="S49" s="14"/>
      <c r="T49" s="15">
        <f>SUM(B49:S49)</f>
        <v>453.2</v>
      </c>
      <c r="U49" s="14"/>
      <c r="V49" s="14"/>
      <c r="W49" s="14">
        <v>0.09</v>
      </c>
      <c r="X49" s="14"/>
      <c r="Y49" s="14">
        <v>21.98</v>
      </c>
      <c r="Z49" s="14">
        <v>0.45</v>
      </c>
      <c r="AA49" s="14">
        <v>7.02</v>
      </c>
      <c r="AB49" s="14">
        <v>72.5</v>
      </c>
      <c r="AC49" s="16">
        <f t="shared" si="0"/>
        <v>102.03999999999999</v>
      </c>
      <c r="AD49" s="14">
        <f t="shared" si="1"/>
        <v>351.15999999999997</v>
      </c>
      <c r="AE49" s="14">
        <v>0</v>
      </c>
      <c r="AF49" s="14">
        <v>94.02</v>
      </c>
      <c r="AG49" s="14">
        <v>29.45</v>
      </c>
      <c r="AH49" s="14">
        <v>123.47</v>
      </c>
      <c r="AI49" s="14">
        <v>0</v>
      </c>
      <c r="AJ49" s="14">
        <v>0</v>
      </c>
      <c r="AK49" s="14">
        <f t="shared" si="2"/>
        <v>547.22</v>
      </c>
      <c r="AL49" s="14">
        <v>453.2</v>
      </c>
      <c r="AM49" s="14">
        <v>453.2</v>
      </c>
      <c r="AN49" s="14">
        <v>453.11</v>
      </c>
      <c r="AO49" s="14">
        <v>0</v>
      </c>
      <c r="AP49" s="14">
        <v>0</v>
      </c>
      <c r="AQ49" s="17">
        <v>0</v>
      </c>
      <c r="AR49" s="14">
        <v>0</v>
      </c>
      <c r="AS49" s="14">
        <v>40</v>
      </c>
      <c r="AT49" s="14">
        <v>0</v>
      </c>
      <c r="AU49" s="14">
        <v>52.38</v>
      </c>
      <c r="AV49" s="18">
        <v>6</v>
      </c>
    </row>
    <row r="50" spans="1:48" ht="13.05" customHeight="1" x14ac:dyDescent="0.3">
      <c r="A50" s="13" t="s">
        <v>88</v>
      </c>
      <c r="B50" s="14">
        <v>708.8</v>
      </c>
      <c r="C50" s="14"/>
      <c r="D50" s="14"/>
      <c r="E50" s="14">
        <v>70.88</v>
      </c>
      <c r="F50" s="14">
        <v>268.64</v>
      </c>
      <c r="G50" s="14"/>
      <c r="H50" s="14"/>
      <c r="I50" s="14"/>
      <c r="J50" s="14"/>
      <c r="K50" s="14">
        <v>0.23</v>
      </c>
      <c r="L50" s="14">
        <v>50</v>
      </c>
      <c r="M50" s="14">
        <v>118.12</v>
      </c>
      <c r="N50" s="14"/>
      <c r="O50" s="14"/>
      <c r="P50" s="14"/>
      <c r="Q50" s="14"/>
      <c r="R50" s="14"/>
      <c r="S50" s="14"/>
      <c r="T50" s="15">
        <f>SUM(B50:S50)</f>
        <v>1216.67</v>
      </c>
      <c r="U50" s="14"/>
      <c r="V50" s="14"/>
      <c r="W50" s="14">
        <v>0.23</v>
      </c>
      <c r="X50" s="14"/>
      <c r="Y50" s="14">
        <v>59.01</v>
      </c>
      <c r="Z50" s="14">
        <v>1.22</v>
      </c>
      <c r="AA50" s="14">
        <v>18.86</v>
      </c>
      <c r="AB50" s="14">
        <v>196.46</v>
      </c>
      <c r="AC50" s="16">
        <f t="shared" si="0"/>
        <v>275.77999999999997</v>
      </c>
      <c r="AD50" s="14">
        <f t="shared" si="1"/>
        <v>940.8900000000001</v>
      </c>
      <c r="AE50" s="14">
        <v>0</v>
      </c>
      <c r="AF50" s="14">
        <v>766.25</v>
      </c>
      <c r="AG50" s="14">
        <v>79.09</v>
      </c>
      <c r="AH50" s="14">
        <v>845.34</v>
      </c>
      <c r="AI50" s="14">
        <v>0</v>
      </c>
      <c r="AJ50" s="14">
        <v>0</v>
      </c>
      <c r="AK50" s="14">
        <f t="shared" si="2"/>
        <v>1982.92</v>
      </c>
      <c r="AL50" s="14">
        <v>2383.37</v>
      </c>
      <c r="AM50" s="14">
        <v>2383.37</v>
      </c>
      <c r="AN50" s="14">
        <v>1216.44</v>
      </c>
      <c r="AO50" s="14">
        <v>0</v>
      </c>
      <c r="AP50" s="14">
        <v>0</v>
      </c>
      <c r="AQ50" s="17">
        <v>0</v>
      </c>
      <c r="AR50" s="14">
        <v>0</v>
      </c>
      <c r="AS50" s="14">
        <v>0</v>
      </c>
      <c r="AT50" s="14">
        <v>0</v>
      </c>
      <c r="AU50" s="14">
        <v>0</v>
      </c>
      <c r="AV50" s="18">
        <v>30</v>
      </c>
    </row>
    <row r="51" spans="1:48" ht="13.05" customHeight="1" x14ac:dyDescent="0.3">
      <c r="A51" s="13" t="s">
        <v>89</v>
      </c>
      <c r="B51" s="14">
        <v>1417.6</v>
      </c>
      <c r="C51" s="14"/>
      <c r="D51" s="14"/>
      <c r="E51" s="14">
        <v>141.76</v>
      </c>
      <c r="F51" s="14">
        <v>920.6</v>
      </c>
      <c r="G51" s="14"/>
      <c r="H51" s="14"/>
      <c r="I51" s="14"/>
      <c r="J51" s="14"/>
      <c r="K51" s="14">
        <v>0.45</v>
      </c>
      <c r="L51" s="14">
        <v>100</v>
      </c>
      <c r="M51" s="14">
        <v>236.26</v>
      </c>
      <c r="N51" s="14"/>
      <c r="O51" s="14"/>
      <c r="P51" s="14"/>
      <c r="Q51" s="14"/>
      <c r="R51" s="14"/>
      <c r="S51" s="14"/>
      <c r="T51" s="15">
        <f>SUM(B51:S51)</f>
        <v>2816.67</v>
      </c>
      <c r="U51" s="14"/>
      <c r="V51" s="14"/>
      <c r="W51" s="14">
        <v>0.45</v>
      </c>
      <c r="X51" s="14"/>
      <c r="Y51" s="14">
        <v>136.61000000000001</v>
      </c>
      <c r="Z51" s="14">
        <v>2.82</v>
      </c>
      <c r="AA51" s="14">
        <v>43.66</v>
      </c>
      <c r="AB51" s="14">
        <v>499.03</v>
      </c>
      <c r="AC51" s="16">
        <f t="shared" si="0"/>
        <v>682.56999999999994</v>
      </c>
      <c r="AD51" s="14">
        <f t="shared" si="1"/>
        <v>2134.1000000000004</v>
      </c>
      <c r="AE51" s="14">
        <v>0</v>
      </c>
      <c r="AF51" s="14">
        <v>905.56</v>
      </c>
      <c r="AG51" s="14">
        <v>183.09</v>
      </c>
      <c r="AH51" s="14">
        <v>1088.6500000000001</v>
      </c>
      <c r="AI51" s="14">
        <v>0</v>
      </c>
      <c r="AJ51" s="14">
        <v>0</v>
      </c>
      <c r="AK51" s="14">
        <f t="shared" si="2"/>
        <v>3722.23</v>
      </c>
      <c r="AL51" s="14">
        <v>2816.67</v>
      </c>
      <c r="AM51" s="14">
        <v>2816.67</v>
      </c>
      <c r="AN51" s="14">
        <v>2816.22</v>
      </c>
      <c r="AO51" s="14">
        <v>0</v>
      </c>
      <c r="AP51" s="14">
        <v>0</v>
      </c>
      <c r="AQ51" s="17">
        <v>0</v>
      </c>
      <c r="AR51" s="14">
        <v>0</v>
      </c>
      <c r="AS51" s="14">
        <v>160</v>
      </c>
      <c r="AT51" s="14">
        <v>0</v>
      </c>
      <c r="AU51" s="14">
        <v>0</v>
      </c>
      <c r="AV51" s="18">
        <v>30</v>
      </c>
    </row>
    <row r="52" spans="1:48" ht="15" thickBot="1" x14ac:dyDescent="0.35">
      <c r="A52" s="19" t="s">
        <v>90</v>
      </c>
      <c r="B52" s="20">
        <v>1789.56</v>
      </c>
      <c r="C52" s="20"/>
      <c r="D52" s="20"/>
      <c r="E52" s="20">
        <v>178.96</v>
      </c>
      <c r="F52" s="20">
        <v>966.12</v>
      </c>
      <c r="G52" s="20"/>
      <c r="H52" s="20"/>
      <c r="I52" s="20"/>
      <c r="J52" s="20"/>
      <c r="K52" s="20">
        <v>0.45</v>
      </c>
      <c r="L52" s="20">
        <v>100</v>
      </c>
      <c r="M52" s="20">
        <v>298.24</v>
      </c>
      <c r="N52" s="20"/>
      <c r="O52" s="20"/>
      <c r="P52" s="20"/>
      <c r="Q52" s="20"/>
      <c r="R52" s="20"/>
      <c r="S52" s="20"/>
      <c r="T52" s="21">
        <f>SUM(B52:S52)</f>
        <v>3333.33</v>
      </c>
      <c r="U52" s="20"/>
      <c r="V52" s="20"/>
      <c r="W52" s="20">
        <v>0.45</v>
      </c>
      <c r="X52" s="20"/>
      <c r="Y52" s="20">
        <v>161.66999999999999</v>
      </c>
      <c r="Z52" s="20">
        <v>3.33</v>
      </c>
      <c r="AA52" s="20">
        <v>51.67</v>
      </c>
      <c r="AB52" s="20">
        <v>649.91</v>
      </c>
      <c r="AC52" s="22">
        <f t="shared" si="0"/>
        <v>867.03</v>
      </c>
      <c r="AD52" s="20">
        <f t="shared" si="1"/>
        <v>2466.3000000000002</v>
      </c>
      <c r="AE52" s="20">
        <v>0</v>
      </c>
      <c r="AF52" s="20">
        <v>1071.6600000000001</v>
      </c>
      <c r="AG52" s="20">
        <v>216.67</v>
      </c>
      <c r="AH52" s="20">
        <v>1288.33</v>
      </c>
      <c r="AI52" s="20">
        <v>0</v>
      </c>
      <c r="AJ52" s="20">
        <v>0</v>
      </c>
      <c r="AK52" s="20">
        <f t="shared" si="2"/>
        <v>4404.99</v>
      </c>
      <c r="AL52" s="20">
        <v>3333.33</v>
      </c>
      <c r="AM52" s="20">
        <v>3333.33</v>
      </c>
      <c r="AN52" s="20">
        <v>3332.88</v>
      </c>
      <c r="AO52" s="20">
        <v>0</v>
      </c>
      <c r="AP52" s="20">
        <v>0</v>
      </c>
      <c r="AQ52" s="23">
        <v>0</v>
      </c>
      <c r="AR52" s="20">
        <v>0</v>
      </c>
      <c r="AS52" s="20">
        <v>160</v>
      </c>
      <c r="AT52" s="20">
        <v>0</v>
      </c>
      <c r="AU52" s="20">
        <v>0</v>
      </c>
      <c r="AV52" s="2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inforkraft.es</dc:creator>
  <cp:lastModifiedBy>inforkraft.es</cp:lastModifiedBy>
  <dcterms:created xsi:type="dcterms:W3CDTF">2026-03-13T06:41:59Z</dcterms:created>
  <dcterms:modified xsi:type="dcterms:W3CDTF">2026-03-13T06:42:34Z</dcterms:modified>
</cp:coreProperties>
</file>